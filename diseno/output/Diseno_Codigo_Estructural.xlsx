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Pilotes_ELU" sheetId="2" state="visible" r:id="rId2"/>
    <sheet xmlns:r="http://schemas.openxmlformats.org/officeDocument/2006/relationships" name="Pilotes_As" sheetId="3" state="visible" r:id="rId3"/>
    <sheet xmlns:r="http://schemas.openxmlformats.org/officeDocument/2006/relationships" name="Pilotes_ELS" sheetId="4" state="visible" r:id="rId4"/>
    <sheet xmlns:r="http://schemas.openxmlformats.org/officeDocument/2006/relationships" name="Vigas_Flexion" sheetId="5" state="visible" r:id="rId5"/>
    <sheet xmlns:r="http://schemas.openxmlformats.org/officeDocument/2006/relationships" name="Vigas_Cortante" sheetId="6" state="visible" r:id="rId6"/>
    <sheet xmlns:r="http://schemas.openxmlformats.org/officeDocument/2006/relationships" name="Vigas_Fisuracion" sheetId="7" state="visible" r:id="rId7"/>
    <sheet xmlns:r="http://schemas.openxmlformats.org/officeDocument/2006/relationships" name="Propuesta" sheetId="8" state="visible" r:id="rId8"/>
    <sheet xmlns:r="http://schemas.openxmlformats.org/officeDocument/2006/relationships" name="Comparacion_CYPE" sheetId="9" state="visible" r:id="rId9"/>
    <sheet xmlns:r="http://schemas.openxmlformats.org/officeDocument/2006/relationships" name="Supuestos" sheetId="10" state="visible" r:id="rId10"/>
  </sheets>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000"/>
  </numFmts>
  <fonts count="6">
    <font>
      <name val="Calibri"/>
      <family val="2"/>
      <color theme="1"/>
      <sz val="11"/>
      <scheme val="minor"/>
    </font>
    <font>
      <b val="1"/>
      <sz val="13"/>
    </font>
    <font>
      <i val="1"/>
      <color rgb="0052514E"/>
    </font>
    <font>
      <b val="1"/>
      <sz val="11"/>
    </font>
    <font>
      <b val="1"/>
      <color rgb="00FFFFFF"/>
    </font>
    <font>
      <b val="1"/>
    </font>
  </fonts>
  <fills count="7">
    <fill>
      <patternFill/>
    </fill>
    <fill>
      <patternFill patternType="gray125"/>
    </fill>
    <fill>
      <patternFill patternType="solid">
        <fgColor rgb="001F4E78"/>
      </patternFill>
    </fill>
    <fill>
      <patternFill patternType="solid">
        <fgColor rgb="00E2EFDA"/>
      </patternFill>
    </fill>
    <fill>
      <patternFill patternType="solid">
        <fgColor rgb="00F8CBAD"/>
      </patternFill>
    </fill>
    <fill>
      <patternFill patternType="solid">
        <fgColor rgb="00FFF2CC"/>
      </patternFill>
    </fill>
    <fill>
      <patternFill patternType="solid">
        <fgColor rgb="00EDEDED"/>
      </patternFill>
    </fill>
  </fills>
  <borders count="2">
    <border>
      <left/>
      <right/>
      <top/>
      <bottom/>
      <diagonal/>
    </border>
    <border>
      <bottom style="thin">
        <color rgb="00D0D0D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164" fontId="0" fillId="3" borderId="1" pivotButton="0" quotePrefix="0" xfId="0"/>
    <xf numFmtId="164" fontId="0" fillId="4" borderId="1" pivotButton="0" quotePrefix="0" xfId="0"/>
    <xf numFmtId="0" fontId="0" fillId="4" borderId="1" pivotButton="0" quotePrefix="0" xfId="0"/>
    <xf numFmtId="0" fontId="0" fillId="5" borderId="1" pivotButton="0" quotePrefix="0" xfId="0"/>
    <xf numFmtId="164" fontId="0" fillId="5" borderId="1" pivotButton="0" quotePrefix="0" xfId="0"/>
    <xf numFmtId="0" fontId="0" fillId="3" borderId="1" pivotButton="0" quotePrefix="0" xfId="0"/>
    <xf numFmtId="0" fontId="5" fillId="0" borderId="0" pivotButton="0" quotePrefix="0" xfId="0"/>
    <xf numFmtId="0" fontId="0" fillId="3" borderId="0" pivotButton="0" quotePrefix="0" xfId="0"/>
    <xf numFmtId="0" fontId="0" fillId="5" borderId="0" pivotButton="0" quotePrefix="0" xfId="0"/>
    <xf numFmtId="0" fontId="0" fillId="4" borderId="0" pivotButton="0" quotePrefix="0" xfId="0"/>
    <xf numFmtId="0" fontId="4"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5" fontId="0" fillId="0" borderId="1" pivotButton="0" quotePrefix="0" xfId="0"/>
    <xf numFmtId="164" fontId="0" fillId="0" borderId="1" pivotButton="0" quotePrefix="0" xfId="0"/>
    <xf numFmtId="2" fontId="0" fillId="0" borderId="1" pivotButton="0" quotePrefix="0" xfId="0"/>
    <xf numFmtId="164" fontId="0" fillId="6" borderId="1" pivotButton="0" quotePrefix="0" xfId="0"/>
    <xf numFmtId="166" fontId="0" fillId="0" borderId="1" pivotButton="0" quotePrefix="0" xfId="0"/>
    <xf numFmtId="0" fontId="5" fillId="0"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η N-M 2º orden por pilote (m = mar, t = tierra; eje 1-7)</a:t>
            </a:r>
          </a:p>
        </rich>
      </tx>
    </title>
    <plotArea>
      <barChart>
        <barDir val="col"/>
        <grouping val="clustered"/>
        <ser>
          <idx val="0"/>
          <order val="0"/>
          <tx>
            <strRef>
              <f>'Pilotes_ELU'!B49</f>
            </strRef>
          </tx>
          <spPr>
            <a:solidFill xmlns:a="http://schemas.openxmlformats.org/drawingml/2006/main">
              <a:srgbClr val="1baf7a"/>
            </a:solidFill>
            <a:ln xmlns:a="http://schemas.openxmlformats.org/drawingml/2006/main">
              <a:solidFill>
                <a:srgbClr val="FFFFFF"/>
              </a:solidFill>
              <a:prstDash val="solid"/>
            </a:ln>
          </spPr>
          <cat>
            <numRef>
              <f>'Pilotes_ELU'!$A$50:$A$63</f>
            </numRef>
          </cat>
          <val>
            <numRef>
              <f>'Pilotes_ELU'!$B$50:$B$63</f>
            </numRef>
          </val>
        </ser>
        <ser>
          <idx val="1"/>
          <order val="1"/>
          <tx>
            <strRef>
              <f>'Pilotes_ELU'!C49</f>
            </strRef>
          </tx>
          <spPr>
            <a:solidFill xmlns:a="http://schemas.openxmlformats.org/drawingml/2006/main">
              <a:srgbClr val="eb6834"/>
            </a:solidFill>
            <a:ln xmlns:a="http://schemas.openxmlformats.org/drawingml/2006/main">
              <a:solidFill>
                <a:srgbClr val="FFFFFF"/>
              </a:solidFill>
              <a:prstDash val="solid"/>
            </a:ln>
          </spPr>
          <cat>
            <numRef>
              <f>'Pilotes_ELU'!$A$50:$A$63</f>
            </numRef>
          </cat>
          <val>
            <numRef>
              <f>'Pilotes_ELU'!$C$50:$C$63</f>
            </numRef>
          </val>
        </ser>
        <ser>
          <idx val="2"/>
          <order val="2"/>
          <tx>
            <strRef>
              <f>'Pilotes_ELU'!D49</f>
            </strRef>
          </tx>
          <spPr>
            <a:solidFill xmlns:a="http://schemas.openxmlformats.org/drawingml/2006/main">
              <a:srgbClr val="2a78d6"/>
            </a:solidFill>
            <a:ln xmlns:a="http://schemas.openxmlformats.org/drawingml/2006/main">
              <a:solidFill>
                <a:srgbClr val="FFFFFF"/>
              </a:solidFill>
              <a:prstDash val="solid"/>
            </a:ln>
          </spPr>
          <cat>
            <numRef>
              <f>'Pilotes_ELU'!$A$50:$A$63</f>
            </numRef>
          </cat>
          <val>
            <numRef>
              <f>'Pilotes_ELU'!$D$50:$D$63</f>
            </numRef>
          </val>
        </ser>
        <gapWidth val="60"/>
        <axId val="10"/>
        <axId val="100"/>
      </barChart>
      <lineChart>
        <grouping val="standard"/>
        <ser>
          <idx val="3"/>
          <order val="3"/>
          <tx>
            <strRef>
              <f>'Pilotes_ELU'!G49</f>
            </strRef>
          </tx>
          <spPr>
            <a:ln xmlns:a="http://schemas.openxmlformats.org/drawingml/2006/main" w="22225">
              <a:solidFill>
                <a:srgbClr val="d03b3b"/>
              </a:solidFill>
              <a:prstDash val="dash"/>
            </a:ln>
          </spPr>
          <marker>
            <symbol val="none"/>
            <spPr>
              <a:ln xmlns:a="http://schemas.openxmlformats.org/drawingml/2006/main">
                <a:prstDash val="solid"/>
              </a:ln>
            </spPr>
          </marker>
          <cat>
            <numRef>
              <f>'Pilotes_ELU'!$A$50:$A$63</f>
            </numRef>
          </cat>
          <val>
            <numRef>
              <f>'Pilotes_ELU'!$G$50:$G$63</f>
            </numRef>
          </val>
          <smooth val="0"/>
        </ser>
        <axId val="10"/>
        <axId val="100"/>
      </lineChart>
      <catAx>
        <axId val="10"/>
        <scaling>
          <orientation val="minMax"/>
        </scaling>
        <delete val="0"/>
        <axPos val="l"/>
        <majorTickMark val="none"/>
        <minorTickMark val="none"/>
        <crossAx val="100"/>
        <lblOffset val="100"/>
      </catAx>
      <valAx>
        <axId val="100"/>
        <scaling>
          <orientation val="minMax"/>
          <max val="1.1"/>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η cortante por pilote (ROM/codigo)</a:t>
            </a:r>
          </a:p>
        </rich>
      </tx>
    </title>
    <plotArea>
      <barChart>
        <barDir val="col"/>
        <grouping val="clustered"/>
        <ser>
          <idx val="0"/>
          <order val="0"/>
          <tx>
            <strRef>
              <f>'Pilotes_ELU'!F49</f>
            </strRef>
          </tx>
          <spPr>
            <a:solidFill xmlns:a="http://schemas.openxmlformats.org/drawingml/2006/main">
              <a:srgbClr val="2a78d6"/>
            </a:solidFill>
            <a:ln xmlns:a="http://schemas.openxmlformats.org/drawingml/2006/main">
              <a:solidFill>
                <a:srgbClr val="FFFFFF"/>
              </a:solidFill>
              <a:prstDash val="solid"/>
            </a:ln>
          </spPr>
          <cat>
            <numRef>
              <f>'Pilotes_ELU'!$A$50:$A$63</f>
            </numRef>
          </cat>
          <val>
            <numRef>
              <f>'Pilotes_ELU'!$F$50:$F$63</f>
            </numRef>
          </val>
        </ser>
        <gapWidth val="60"/>
        <axId val="10"/>
        <axId val="100"/>
      </barChart>
      <lineChart>
        <grouping val="standard"/>
        <ser>
          <idx val="1"/>
          <order val="1"/>
          <tx>
            <strRef>
              <f>'Pilotes_ELU'!G49</f>
            </strRef>
          </tx>
          <spPr>
            <a:ln xmlns:a="http://schemas.openxmlformats.org/drawingml/2006/main" w="22225">
              <a:solidFill>
                <a:srgbClr val="d03b3b"/>
              </a:solidFill>
              <a:prstDash val="dash"/>
            </a:ln>
          </spPr>
          <marker>
            <symbol val="none"/>
            <spPr>
              <a:ln xmlns:a="http://schemas.openxmlformats.org/drawingml/2006/main">
                <a:prstDash val="solid"/>
              </a:ln>
            </spPr>
          </marker>
          <cat>
            <numRef>
              <f>'Pilotes_ELU'!$A$50:$A$63</f>
            </numRef>
          </cat>
          <val>
            <numRef>
              <f>'Pilotes_ELU'!$G$50:$G$63</f>
            </numRef>
          </val>
          <smooth val="0"/>
        </ser>
        <axId val="10"/>
        <axId val="100"/>
      </lineChart>
      <catAx>
        <axId val="10"/>
        <scaling>
          <orientation val="minMax"/>
        </scaling>
        <delete val="0"/>
        <axPos val="l"/>
        <majorTickMark val="none"/>
        <minorTickMark val="none"/>
        <crossAx val="100"/>
        <lblOffset val="100"/>
      </catAx>
      <valAx>
        <axId val="100"/>
        <scaling>
          <orientation val="minMax"/>
          <max val="1.1"/>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As necesaria por pilote frente a dispuesta (12Ø25 = 58.9 cm²) y As,máx</a:t>
            </a:r>
          </a:p>
        </rich>
      </tx>
    </title>
    <plotArea>
      <barChart>
        <barDir val="col"/>
        <grouping val="clustered"/>
        <ser>
          <idx val="0"/>
          <order val="0"/>
          <tx>
            <strRef>
              <f>'Pilotes_As'!F4</f>
            </strRef>
          </tx>
          <spPr>
            <a:solidFill xmlns:a="http://schemas.openxmlformats.org/drawingml/2006/main">
              <a:srgbClr val="2a78d6"/>
            </a:solidFill>
            <a:ln xmlns:a="http://schemas.openxmlformats.org/drawingml/2006/main">
              <a:solidFill>
                <a:srgbClr val="FFFFFF"/>
              </a:solidFill>
              <a:prstDash val="solid"/>
            </a:ln>
          </spPr>
          <cat>
            <numRef>
              <f>'Pilotes_As'!$A$5:$A$18</f>
            </numRef>
          </cat>
          <val>
            <numRef>
              <f>'Pilotes_As'!$F$5:$F$18</f>
            </numRef>
          </val>
        </ser>
        <gapWidth val="60"/>
        <axId val="10"/>
        <axId val="100"/>
      </barChart>
      <lineChart>
        <grouping val="standard"/>
        <ser>
          <idx val="1"/>
          <order val="1"/>
          <tx>
            <strRef>
              <f>'Pilotes_As'!G4</f>
            </strRef>
          </tx>
          <spPr>
            <a:ln xmlns:a="http://schemas.openxmlformats.org/drawingml/2006/main" w="22225">
              <a:solidFill>
                <a:srgbClr val="52514e"/>
              </a:solidFill>
              <a:prstDash val="solid"/>
            </a:ln>
          </spPr>
          <marker>
            <symbol val="none"/>
            <spPr>
              <a:ln xmlns:a="http://schemas.openxmlformats.org/drawingml/2006/main">
                <a:prstDash val="solid"/>
              </a:ln>
            </spPr>
          </marker>
          <cat>
            <numRef>
              <f>'Pilotes_As'!$A$5:$A$18</f>
            </numRef>
          </cat>
          <val>
            <numRef>
              <f>'Pilotes_As'!$G$5:$G$18</f>
            </numRef>
          </val>
          <smooth val="0"/>
        </ser>
        <ser>
          <idx val="2"/>
          <order val="2"/>
          <tx>
            <strRef>
              <f>'Pilotes_As'!L4</f>
            </strRef>
          </tx>
          <spPr>
            <a:ln xmlns:a="http://schemas.openxmlformats.org/drawingml/2006/main" w="22225">
              <a:solidFill>
                <a:srgbClr val="d03b3b"/>
              </a:solidFill>
              <a:prstDash val="dash"/>
            </a:ln>
          </spPr>
          <marker>
            <symbol val="none"/>
            <spPr>
              <a:ln xmlns:a="http://schemas.openxmlformats.org/drawingml/2006/main">
                <a:prstDash val="solid"/>
              </a:ln>
            </spPr>
          </marker>
          <cat>
            <numRef>
              <f>'Pilotes_As'!$A$5:$A$18</f>
            </numRef>
          </cat>
          <val>
            <numRef>
              <f>'Pilotes_As'!$L$5:$L$18</f>
            </numRef>
          </val>
          <smooth val="0"/>
        </ser>
        <axId val="10"/>
        <axId val="100"/>
      </lineChart>
      <catAx>
        <axId val="10"/>
        <scaling>
          <orientation val="minMax"/>
        </scaling>
        <delete val="0"/>
        <axPos val="l"/>
        <majorTickMark val="none"/>
        <minorTickMark val="none"/>
        <crossAx val="100"/>
        <lblOffset val="100"/>
      </catAx>
      <valAx>
        <axId val="100"/>
        <scaling>
          <orientation val="minMax"/>
          <max val="70"/>
          <min val="0"/>
        </scaling>
        <delete val="0"/>
        <axPos val="l"/>
        <majorGridlines/>
        <title>
          <tx>
            <rich>
              <a:bodyPr xmlns:a="http://schemas.openxmlformats.org/drawingml/2006/main"/>
              <a:p xmlns:a="http://schemas.openxmlformats.org/drawingml/2006/main">
                <a:pPr>
                  <a:defRPr/>
                </a:pPr>
                <a:r>
                  <a:t>cm²</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σc/0.6fck (característica) por pilote: Ecm frente a Ec,eff</a:t>
            </a:r>
          </a:p>
        </rich>
      </tx>
    </title>
    <plotArea>
      <barChart>
        <barDir val="col"/>
        <grouping val="clustered"/>
        <ser>
          <idx val="0"/>
          <order val="0"/>
          <tx>
            <strRef>
              <f>'Pilotes_ELS'!M4</f>
            </strRef>
          </tx>
          <spPr>
            <a:solidFill xmlns:a="http://schemas.openxmlformats.org/drawingml/2006/main">
              <a:srgbClr val="eb6834"/>
            </a:solidFill>
            <a:ln xmlns:a="http://schemas.openxmlformats.org/drawingml/2006/main">
              <a:solidFill>
                <a:srgbClr val="FFFFFF"/>
              </a:solidFill>
              <a:prstDash val="solid"/>
            </a:ln>
          </spPr>
          <cat>
            <numRef>
              <f>'Pilotes_ELS'!$A$5:$A$18</f>
            </numRef>
          </cat>
          <val>
            <numRef>
              <f>'Pilotes_ELS'!$M$5:$M$18</f>
            </numRef>
          </val>
        </ser>
        <ser>
          <idx val="1"/>
          <order val="1"/>
          <tx>
            <strRef>
              <f>'Pilotes_ELS'!N4</f>
            </strRef>
          </tx>
          <spPr>
            <a:solidFill xmlns:a="http://schemas.openxmlformats.org/drawingml/2006/main">
              <a:srgbClr val="2a78d6"/>
            </a:solidFill>
            <a:ln xmlns:a="http://schemas.openxmlformats.org/drawingml/2006/main">
              <a:solidFill>
                <a:srgbClr val="FFFFFF"/>
              </a:solidFill>
              <a:prstDash val="solid"/>
            </a:ln>
          </spPr>
          <cat>
            <numRef>
              <f>'Pilotes_ELS'!$A$5:$A$18</f>
            </numRef>
          </cat>
          <val>
            <numRef>
              <f>'Pilotes_ELS'!$N$5:$N$18</f>
            </numRef>
          </val>
        </ser>
        <gapWidth val="60"/>
        <axId val="10"/>
        <axId val="100"/>
      </barChart>
      <lineChart>
        <grouping val="standard"/>
        <ser>
          <idx val="2"/>
          <order val="2"/>
          <tx>
            <strRef>
              <f>'Pilotes_ELS'!U4</f>
            </strRef>
          </tx>
          <spPr>
            <a:ln xmlns:a="http://schemas.openxmlformats.org/drawingml/2006/main" w="22225">
              <a:solidFill>
                <a:srgbClr val="d03b3b"/>
              </a:solidFill>
              <a:prstDash val="dash"/>
            </a:ln>
          </spPr>
          <marker>
            <symbol val="none"/>
            <spPr>
              <a:ln xmlns:a="http://schemas.openxmlformats.org/drawingml/2006/main">
                <a:prstDash val="solid"/>
              </a:ln>
            </spPr>
          </marker>
          <cat>
            <numRef>
              <f>'Pilotes_ELS'!$A$5:$A$18</f>
            </numRef>
          </cat>
          <val>
            <numRef>
              <f>'Pilotes_ELS'!$U$5:$U$18</f>
            </numRef>
          </val>
          <smooth val="0"/>
        </ser>
        <axId val="10"/>
        <axId val="100"/>
      </lineChart>
      <catAx>
        <axId val="10"/>
        <scaling>
          <orientation val="minMax"/>
        </scaling>
        <delete val="0"/>
        <axPos val="l"/>
        <majorTickMark val="none"/>
        <minorTickMark val="none"/>
        <crossAx val="100"/>
        <lblOffset val="100"/>
      </catAx>
      <valAx>
        <axId val="100"/>
        <scaling>
          <orientation val="minMax"/>
          <max val="1.2"/>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Fisuración QP: sensibilidad al ψ2 (bolardo 0 / 0.5)</a:t>
            </a:r>
          </a:p>
        </rich>
      </tx>
    </title>
    <plotArea>
      <barChart>
        <barDir val="col"/>
        <grouping val="clustered"/>
        <ser>
          <idx val="0"/>
          <order val="0"/>
          <tx>
            <strRef>
              <f>'Pilotes_ELS'!Q4</f>
            </strRef>
          </tx>
          <spPr>
            <a:solidFill xmlns:a="http://schemas.openxmlformats.org/drawingml/2006/main">
              <a:srgbClr val="1baf7a"/>
            </a:solidFill>
            <a:ln xmlns:a="http://schemas.openxmlformats.org/drawingml/2006/main">
              <a:solidFill>
                <a:srgbClr val="FFFFFF"/>
              </a:solidFill>
              <a:prstDash val="solid"/>
            </a:ln>
          </spPr>
          <cat>
            <numRef>
              <f>'Pilotes_ELS'!$A$5:$A$18</f>
            </numRef>
          </cat>
          <val>
            <numRef>
              <f>'Pilotes_ELS'!$Q$5:$Q$18</f>
            </numRef>
          </val>
        </ser>
        <ser>
          <idx val="1"/>
          <order val="1"/>
          <tx>
            <strRef>
              <f>'Pilotes_ELS'!S4</f>
            </strRef>
          </tx>
          <spPr>
            <a:solidFill xmlns:a="http://schemas.openxmlformats.org/drawingml/2006/main">
              <a:srgbClr val="2a78d6"/>
            </a:solidFill>
            <a:ln xmlns:a="http://schemas.openxmlformats.org/drawingml/2006/main">
              <a:solidFill>
                <a:srgbClr val="FFFFFF"/>
              </a:solidFill>
              <a:prstDash val="solid"/>
            </a:ln>
          </spPr>
          <cat>
            <numRef>
              <f>'Pilotes_ELS'!$A$5:$A$18</f>
            </numRef>
          </cat>
          <val>
            <numRef>
              <f>'Pilotes_ELS'!$S$5:$S$18</f>
            </numRef>
          </val>
        </ser>
        <ser>
          <idx val="2"/>
          <order val="2"/>
          <tx>
            <strRef>
              <f>'Pilotes_ELS'!T4</f>
            </strRef>
          </tx>
          <spPr>
            <a:solidFill xmlns:a="http://schemas.openxmlformats.org/drawingml/2006/main">
              <a:srgbClr val="eb6834"/>
            </a:solidFill>
            <a:ln xmlns:a="http://schemas.openxmlformats.org/drawingml/2006/main">
              <a:solidFill>
                <a:srgbClr val="FFFFFF"/>
              </a:solidFill>
              <a:prstDash val="solid"/>
            </a:ln>
          </spPr>
          <cat>
            <numRef>
              <f>'Pilotes_ELS'!$A$5:$A$18</f>
            </numRef>
          </cat>
          <val>
            <numRef>
              <f>'Pilotes_ELS'!$T$5:$T$18</f>
            </numRef>
          </val>
        </ser>
        <gapWidth val="60"/>
        <axId val="10"/>
        <axId val="100"/>
      </barChart>
      <lineChart>
        <grouping val="standard"/>
        <ser>
          <idx val="3"/>
          <order val="3"/>
          <tx>
            <strRef>
              <f>'Pilotes_ELS'!U4</f>
            </strRef>
          </tx>
          <spPr>
            <a:ln xmlns:a="http://schemas.openxmlformats.org/drawingml/2006/main" w="22225">
              <a:solidFill>
                <a:srgbClr val="d03b3b"/>
              </a:solidFill>
              <a:prstDash val="dash"/>
            </a:ln>
          </spPr>
          <marker>
            <symbol val="none"/>
            <spPr>
              <a:ln xmlns:a="http://schemas.openxmlformats.org/drawingml/2006/main">
                <a:prstDash val="solid"/>
              </a:ln>
            </spPr>
          </marker>
          <cat>
            <numRef>
              <f>'Pilotes_ELS'!$A$5:$A$18</f>
            </numRef>
          </cat>
          <val>
            <numRef>
              <f>'Pilotes_ELS'!$U$5:$U$18</f>
            </numRef>
          </val>
          <smooth val="0"/>
        </ser>
        <axId val="10"/>
        <axId val="100"/>
      </lineChart>
      <catAx>
        <axId val="10"/>
        <scaling>
          <orientation val="minMax"/>
        </scaling>
        <delete val="0"/>
        <axPos val="l"/>
        <majorTickMark val="none"/>
        <minorTickMark val="none"/>
        <crossAx val="100"/>
        <lblOffset val="100"/>
      </catAx>
      <valAx>
        <axId val="100"/>
        <scaling>
          <orientation val="minMax"/>
          <max val="1.8"/>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η flexión ELU por viga y base / modo</a:t>
            </a:r>
          </a:p>
        </rich>
      </tx>
    </title>
    <plotArea>
      <barChart>
        <barDir val="col"/>
        <grouping val="clustered"/>
        <ser>
          <idx val="0"/>
          <order val="0"/>
          <tx>
            <strRef>
              <f>'Vigas_Flexion'!B116</f>
            </strRef>
          </tx>
          <spPr>
            <a:solidFill xmlns:a="http://schemas.openxmlformats.org/drawingml/2006/main">
              <a:srgbClr val="1baf7a"/>
            </a:solidFill>
            <a:ln xmlns:a="http://schemas.openxmlformats.org/drawingml/2006/main">
              <a:solidFill>
                <a:srgbClr val="FFFFFF"/>
              </a:solidFill>
              <a:prstDash val="solid"/>
            </a:ln>
          </spPr>
          <cat>
            <numRef>
              <f>'Vigas_Flexion'!$A$117:$A$125</f>
            </numRef>
          </cat>
          <val>
            <numRef>
              <f>'Vigas_Flexion'!$B$117:$B$125</f>
            </numRef>
          </val>
        </ser>
        <ser>
          <idx val="1"/>
          <order val="1"/>
          <tx>
            <strRef>
              <f>'Vigas_Flexion'!C116</f>
            </strRef>
          </tx>
          <spPr>
            <a:solidFill xmlns:a="http://schemas.openxmlformats.org/drawingml/2006/main">
              <a:srgbClr val="eb6834"/>
            </a:solidFill>
            <a:ln xmlns:a="http://schemas.openxmlformats.org/drawingml/2006/main">
              <a:solidFill>
                <a:srgbClr val="FFFFFF"/>
              </a:solidFill>
              <a:prstDash val="solid"/>
            </a:ln>
          </spPr>
          <cat>
            <numRef>
              <f>'Vigas_Flexion'!$A$117:$A$125</f>
            </numRef>
          </cat>
          <val>
            <numRef>
              <f>'Vigas_Flexion'!$C$117:$C$125</f>
            </numRef>
          </val>
        </ser>
        <ser>
          <idx val="2"/>
          <order val="2"/>
          <tx>
            <strRef>
              <f>'Vigas_Flexion'!D116</f>
            </strRef>
          </tx>
          <spPr>
            <a:solidFill xmlns:a="http://schemas.openxmlformats.org/drawingml/2006/main">
              <a:srgbClr val="2a78d6"/>
            </a:solidFill>
            <a:ln xmlns:a="http://schemas.openxmlformats.org/drawingml/2006/main">
              <a:solidFill>
                <a:srgbClr val="FFFFFF"/>
              </a:solidFill>
              <a:prstDash val="solid"/>
            </a:ln>
          </spPr>
          <cat>
            <numRef>
              <f>'Vigas_Flexion'!$A$117:$A$125</f>
            </numRef>
          </cat>
          <val>
            <numRef>
              <f>'Vigas_Flexion'!$D$117:$D$125</f>
            </numRef>
          </val>
        </ser>
        <gapWidth val="60"/>
        <axId val="10"/>
        <axId val="100"/>
      </barChart>
      <lineChart>
        <grouping val="standard"/>
        <ser>
          <idx val="3"/>
          <order val="3"/>
          <tx>
            <strRef>
              <f>'Vigas_Flexion'!I116</f>
            </strRef>
          </tx>
          <spPr>
            <a:ln xmlns:a="http://schemas.openxmlformats.org/drawingml/2006/main" w="22225">
              <a:solidFill>
                <a:srgbClr val="d03b3b"/>
              </a:solidFill>
              <a:prstDash val="dash"/>
            </a:ln>
          </spPr>
          <marker>
            <symbol val="none"/>
            <spPr>
              <a:ln xmlns:a="http://schemas.openxmlformats.org/drawingml/2006/main">
                <a:prstDash val="solid"/>
              </a:ln>
            </spPr>
          </marker>
          <cat>
            <numRef>
              <f>'Vigas_Flexion'!$A$117:$A$125</f>
            </numRef>
          </cat>
          <val>
            <numRef>
              <f>'Vigas_Flexion'!$I$117:$I$125</f>
            </numRef>
          </val>
          <smooth val="0"/>
        </ser>
        <axId val="10"/>
        <axId val="100"/>
      </lineChart>
      <catAx>
        <axId val="10"/>
        <scaling>
          <orientation val="minMax"/>
        </scaling>
        <delete val="0"/>
        <axPos val="l"/>
        <majorTickMark val="none"/>
        <minorTickMark val="none"/>
        <crossAx val="100"/>
        <lblOffset val="100"/>
      </catAx>
      <valAx>
        <axId val="100"/>
        <scaling>
          <orientation val="minMax"/>
          <max val="1.1"/>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Armadura necesaria frente a dispuesta (caso final, armado actual)</a:t>
            </a:r>
          </a:p>
        </rich>
      </tx>
    </title>
    <plotArea>
      <barChart>
        <barDir val="col"/>
        <grouping val="clustered"/>
        <ser>
          <idx val="0"/>
          <order val="0"/>
          <tx>
            <strRef>
              <f>'Vigas_Flexion'!E116</f>
            </strRef>
          </tx>
          <spPr>
            <a:solidFill xmlns:a="http://schemas.openxmlformats.org/drawingml/2006/main">
              <a:srgbClr val="2a78d6"/>
            </a:solidFill>
            <a:ln xmlns:a="http://schemas.openxmlformats.org/drawingml/2006/main">
              <a:solidFill>
                <a:srgbClr val="FFFFFF"/>
              </a:solidFill>
              <a:prstDash val="solid"/>
            </a:ln>
          </spPr>
          <cat>
            <numRef>
              <f>'Vigas_Flexion'!$A$117:$A$125</f>
            </numRef>
          </cat>
          <val>
            <numRef>
              <f>'Vigas_Flexion'!$E$117:$E$125</f>
            </numRef>
          </val>
        </ser>
        <ser>
          <idx val="1"/>
          <order val="1"/>
          <tx>
            <strRef>
              <f>'Vigas_Flexion'!F116</f>
            </strRef>
          </tx>
          <spPr>
            <a:solidFill xmlns:a="http://schemas.openxmlformats.org/drawingml/2006/main">
              <a:srgbClr val="86b6ef"/>
            </a:solidFill>
            <a:ln xmlns:a="http://schemas.openxmlformats.org/drawingml/2006/main">
              <a:solidFill>
                <a:srgbClr val="FFFFFF"/>
              </a:solidFill>
              <a:prstDash val="solid"/>
            </a:ln>
          </spPr>
          <cat>
            <numRef>
              <f>'Vigas_Flexion'!$A$117:$A$125</f>
            </numRef>
          </cat>
          <val>
            <numRef>
              <f>'Vigas_Flexion'!$F$117:$F$125</f>
            </numRef>
          </val>
        </ser>
        <ser>
          <idx val="2"/>
          <order val="2"/>
          <tx>
            <strRef>
              <f>'Vigas_Flexion'!G116</f>
            </strRef>
          </tx>
          <spPr>
            <a:solidFill xmlns:a="http://schemas.openxmlformats.org/drawingml/2006/main">
              <a:srgbClr val="eb6834"/>
            </a:solidFill>
            <a:ln xmlns:a="http://schemas.openxmlformats.org/drawingml/2006/main">
              <a:solidFill>
                <a:srgbClr val="FFFFFF"/>
              </a:solidFill>
              <a:prstDash val="solid"/>
            </a:ln>
          </spPr>
          <cat>
            <numRef>
              <f>'Vigas_Flexion'!$A$117:$A$125</f>
            </numRef>
          </cat>
          <val>
            <numRef>
              <f>'Vigas_Flexion'!$G$117:$G$125</f>
            </numRef>
          </val>
        </ser>
        <ser>
          <idx val="3"/>
          <order val="3"/>
          <tx>
            <strRef>
              <f>'Vigas_Flexion'!H116</f>
            </strRef>
          </tx>
          <spPr>
            <a:solidFill xmlns:a="http://schemas.openxmlformats.org/drawingml/2006/main">
              <a:srgbClr val="f3a582"/>
            </a:solidFill>
            <a:ln xmlns:a="http://schemas.openxmlformats.org/drawingml/2006/main">
              <a:solidFill>
                <a:srgbClr val="FFFFFF"/>
              </a:solidFill>
              <a:prstDash val="solid"/>
            </a:ln>
          </spPr>
          <cat>
            <numRef>
              <f>'Vigas_Flexion'!$A$117:$A$125</f>
            </numRef>
          </cat>
          <val>
            <numRef>
              <f>'Vigas_Flexion'!$H$117:$H$125</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cm²</a:t>
                </a:r>
              </a:p>
            </rich>
          </tx>
        </title>
        <majorTickMark val="none"/>
        <minorTickMark val="none"/>
        <crossAx val="10"/>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η cortante por viga y base / modo (CYPE: θ = 45°, CE: cot θ óptimo + suspensión)</a:t>
            </a:r>
          </a:p>
        </rich>
      </tx>
    </title>
    <plotArea>
      <barChart>
        <barDir val="col"/>
        <grouping val="clustered"/>
        <ser>
          <idx val="0"/>
          <order val="0"/>
          <tx>
            <strRef>
              <f>'Vigas_Cortante'!B59</f>
            </strRef>
          </tx>
          <spPr>
            <a:solidFill xmlns:a="http://schemas.openxmlformats.org/drawingml/2006/main">
              <a:srgbClr val="1baf7a"/>
            </a:solidFill>
            <a:ln xmlns:a="http://schemas.openxmlformats.org/drawingml/2006/main">
              <a:solidFill>
                <a:srgbClr val="FFFFFF"/>
              </a:solidFill>
              <a:prstDash val="solid"/>
            </a:ln>
          </spPr>
          <cat>
            <numRef>
              <f>'Vigas_Cortante'!$A$60:$A$68</f>
            </numRef>
          </cat>
          <val>
            <numRef>
              <f>'Vigas_Cortante'!$B$60:$B$68</f>
            </numRef>
          </val>
        </ser>
        <ser>
          <idx val="1"/>
          <order val="1"/>
          <tx>
            <strRef>
              <f>'Vigas_Cortante'!C59</f>
            </strRef>
          </tx>
          <spPr>
            <a:solidFill xmlns:a="http://schemas.openxmlformats.org/drawingml/2006/main">
              <a:srgbClr val="eb6834"/>
            </a:solidFill>
            <a:ln xmlns:a="http://schemas.openxmlformats.org/drawingml/2006/main">
              <a:solidFill>
                <a:srgbClr val="FFFFFF"/>
              </a:solidFill>
              <a:prstDash val="solid"/>
            </a:ln>
          </spPr>
          <cat>
            <numRef>
              <f>'Vigas_Cortante'!$A$60:$A$68</f>
            </numRef>
          </cat>
          <val>
            <numRef>
              <f>'Vigas_Cortante'!$C$60:$C$68</f>
            </numRef>
          </val>
        </ser>
        <ser>
          <idx val="2"/>
          <order val="2"/>
          <tx>
            <strRef>
              <f>'Vigas_Cortante'!D59</f>
            </strRef>
          </tx>
          <spPr>
            <a:solidFill xmlns:a="http://schemas.openxmlformats.org/drawingml/2006/main">
              <a:srgbClr val="2a78d6"/>
            </a:solidFill>
            <a:ln xmlns:a="http://schemas.openxmlformats.org/drawingml/2006/main">
              <a:solidFill>
                <a:srgbClr val="FFFFFF"/>
              </a:solidFill>
              <a:prstDash val="solid"/>
            </a:ln>
          </spPr>
          <cat>
            <numRef>
              <f>'Vigas_Cortante'!$A$60:$A$68</f>
            </numRef>
          </cat>
          <val>
            <numRef>
              <f>'Vigas_Cortante'!$D$60:$D$68</f>
            </numRef>
          </val>
        </ser>
        <gapWidth val="60"/>
        <axId val="10"/>
        <axId val="100"/>
      </barChart>
      <lineChart>
        <grouping val="standard"/>
        <ser>
          <idx val="3"/>
          <order val="3"/>
          <tx>
            <strRef>
              <f>'Vigas_Cortante'!G59</f>
            </strRef>
          </tx>
          <spPr>
            <a:ln xmlns:a="http://schemas.openxmlformats.org/drawingml/2006/main" w="22225">
              <a:solidFill>
                <a:srgbClr val="d03b3b"/>
              </a:solidFill>
              <a:prstDash val="dash"/>
            </a:ln>
          </spPr>
          <marker>
            <symbol val="none"/>
            <spPr>
              <a:ln xmlns:a="http://schemas.openxmlformats.org/drawingml/2006/main">
                <a:prstDash val="solid"/>
              </a:ln>
            </spPr>
          </marker>
          <cat>
            <numRef>
              <f>'Vigas_Cortante'!$A$60:$A$68</f>
            </numRef>
          </cat>
          <val>
            <numRef>
              <f>'Vigas_Cortante'!$G$60:$G$68</f>
            </numRef>
          </val>
          <smooth val="0"/>
        </ser>
        <axId val="10"/>
        <axId val="100"/>
      </lineChart>
      <catAx>
        <axId val="10"/>
        <scaling>
          <orientation val="minMax"/>
        </scaling>
        <delete val="0"/>
        <axPos val="l"/>
        <majorTickMark val="none"/>
        <minorTickMark val="none"/>
        <crossAx val="100"/>
        <lblOffset val="100"/>
      </catAx>
      <valAx>
        <axId val="100"/>
        <scaling>
          <orientation val="minMax"/>
          <max val="1.2"/>
          <min val="0"/>
        </scaling>
        <delete val="0"/>
        <axPos val="l"/>
        <majorGridlines/>
        <title>
          <tx>
            <rich>
              <a:bodyPr xmlns:a="http://schemas.openxmlformats.org/drawingml/2006/main"/>
              <a:p xmlns:a="http://schemas.openxmlformats.org/drawingml/2006/main">
                <a:pPr>
                  <a:defRPr/>
                </a:pPr>
                <a:r>
                  <a:t>η</a:t>
                </a:r>
              </a:p>
            </rich>
          </tx>
        </title>
        <majorTickMark val="none"/>
        <minorTickMark val="none"/>
        <crossAx val="10"/>
      </valAx>
    </plotArea>
    <legend>
      <legendPos val="b"/>
    </legend>
    <plotVisOnly val="1"/>
    <dispBlanksAs val="gap"/>
  </chart>
</chartSpace>
</file>

<file path=xl/charts/chart9.xml><?xml version="1.0" encoding="utf-8"?>
<chartSpace xmlns="http://schemas.openxmlformats.org/drawingml/2006/chart">
  <style val="13"/>
  <chart>
    <title>
      <tx>
        <rich>
          <a:bodyPr xmlns:a="http://schemas.openxmlformats.org/drawingml/2006/main"/>
          <a:p xmlns:a="http://schemas.openxmlformats.org/drawingml/2006/main">
            <a:pPr>
              <a:defRPr/>
            </a:pPr>
            <a:r>
              <a:t>Vigas interiores: wk frente a ψ2,Qa (envolvente ejes 2-6)</a:t>
            </a:r>
          </a:p>
        </rich>
      </tx>
    </title>
    <plotArea>
      <scatterChart>
        <ser>
          <idx val="0"/>
          <order val="0"/>
          <tx>
            <strRef>
              <f>'Vigas_Fisuracion'!D26</f>
            </strRef>
          </tx>
          <spPr>
            <a:ln xmlns:a="http://schemas.openxmlformats.org/drawingml/2006/main" w="25400">
              <a:solidFill>
                <a:srgbClr val="52514e"/>
              </a:solidFill>
              <a:prstDash val="solid"/>
            </a:ln>
          </spPr>
          <marker>
            <symbol val="none"/>
            <spPr>
              <a:ln xmlns:a="http://schemas.openxmlformats.org/drawingml/2006/main">
                <a:prstDash val="solid"/>
              </a:ln>
            </spPr>
          </marker>
          <xVal>
            <numRef>
              <f>'Vigas_Fisuracion'!$A$27:$A$77</f>
            </numRef>
          </xVal>
          <yVal>
            <numRef>
              <f>'Vigas_Fisuracion'!$D$27:$D$77</f>
            </numRef>
          </yVal>
          <smooth val="0"/>
        </ser>
        <ser>
          <idx val="1"/>
          <order val="1"/>
          <tx>
            <strRef>
              <f>'Vigas_Fisuracion'!E26</f>
            </strRef>
          </tx>
          <spPr>
            <a:ln xmlns:a="http://schemas.openxmlformats.org/drawingml/2006/main" w="25400">
              <a:solidFill>
                <a:srgbClr val="2a78d6"/>
              </a:solidFill>
              <a:prstDash val="solid"/>
            </a:ln>
          </spPr>
          <marker>
            <symbol val="none"/>
            <spPr>
              <a:ln xmlns:a="http://schemas.openxmlformats.org/drawingml/2006/main">
                <a:prstDash val="solid"/>
              </a:ln>
            </spPr>
          </marker>
          <xVal>
            <numRef>
              <f>'Vigas_Fisuracion'!$A$27:$A$77</f>
            </numRef>
          </xVal>
          <yVal>
            <numRef>
              <f>'Vigas_Fisuracion'!$E$27:$E$77</f>
            </numRef>
          </yVal>
          <smooth val="0"/>
        </ser>
        <ser>
          <idx val="2"/>
          <order val="2"/>
          <tx>
            <strRef>
              <f>'Vigas_Fisuracion'!F26</f>
            </strRef>
          </tx>
          <spPr>
            <a:ln xmlns:a="http://schemas.openxmlformats.org/drawingml/2006/main" w="25400">
              <a:solidFill>
                <a:srgbClr val="d03b3b"/>
              </a:solidFill>
              <a:prstDash val="dash"/>
            </a:ln>
          </spPr>
          <marker>
            <symbol val="none"/>
            <spPr>
              <a:ln xmlns:a="http://schemas.openxmlformats.org/drawingml/2006/main">
                <a:prstDash val="solid"/>
              </a:ln>
            </spPr>
          </marker>
          <xVal>
            <numRef>
              <f>'Vigas_Fisuracion'!$A$27:$A$77</f>
            </numRef>
          </xVal>
          <yVal>
            <numRef>
              <f>'Vigas_Fisuracion'!$F$27:$F$77</f>
            </numRef>
          </yVal>
          <smooth val="0"/>
        </ser>
        <axId val="10"/>
        <axId val="20"/>
      </scatterChart>
      <valAx>
        <axId val="10"/>
        <scaling>
          <orientation val="minMax"/>
          <max val="1"/>
          <min val="0"/>
        </scaling>
        <delete val="0"/>
        <axPos val="l"/>
        <majorGridlines/>
        <title>
          <tx>
            <rich>
              <a:bodyPr xmlns:a="http://schemas.openxmlformats.org/drawingml/2006/main"/>
              <a:p xmlns:a="http://schemas.openxmlformats.org/drawingml/2006/main">
                <a:pPr>
                  <a:defRPr/>
                </a:pPr>
                <a:r>
                  <a:t>ψ2,Qa</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wk (mm)</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style val="13"/>
  <chart>
    <title>
      <tx>
        <rich>
          <a:bodyPr xmlns:a="http://schemas.openxmlformats.org/drawingml/2006/main"/>
          <a:p xmlns:a="http://schemas.openxmlformats.org/drawingml/2006/main">
            <a:pPr>
              <a:defRPr/>
            </a:pPr>
            <a:r>
              <a:t>Vigas interiores: σct/fctm (sección homogeneizada) frente a ψ2,Qa</a:t>
            </a:r>
          </a:p>
        </rich>
      </tx>
    </title>
    <plotArea>
      <scatterChart>
        <ser>
          <idx val="0"/>
          <order val="0"/>
          <tx>
            <strRef>
              <f>'Vigas_Fisuracion'!B26</f>
            </strRef>
          </tx>
          <spPr>
            <a:ln xmlns:a="http://schemas.openxmlformats.org/drawingml/2006/main" w="25400">
              <a:solidFill>
                <a:srgbClr val="52514e"/>
              </a:solidFill>
              <a:prstDash val="solid"/>
            </a:ln>
          </spPr>
          <marker>
            <symbol val="none"/>
            <spPr>
              <a:ln xmlns:a="http://schemas.openxmlformats.org/drawingml/2006/main">
                <a:prstDash val="solid"/>
              </a:ln>
            </spPr>
          </marker>
          <xVal>
            <numRef>
              <f>'Vigas_Fisuracion'!$A$27:$A$77</f>
            </numRef>
          </xVal>
          <yVal>
            <numRef>
              <f>'Vigas_Fisuracion'!$B$27:$B$77</f>
            </numRef>
          </yVal>
          <smooth val="0"/>
        </ser>
        <ser>
          <idx val="1"/>
          <order val="1"/>
          <tx>
            <strRef>
              <f>'Vigas_Fisuracion'!C26</f>
            </strRef>
          </tx>
          <spPr>
            <a:ln xmlns:a="http://schemas.openxmlformats.org/drawingml/2006/main" w="25400">
              <a:solidFill>
                <a:srgbClr val="2a78d6"/>
              </a:solidFill>
              <a:prstDash val="solid"/>
            </a:ln>
          </spPr>
          <marker>
            <symbol val="none"/>
            <spPr>
              <a:ln xmlns:a="http://schemas.openxmlformats.org/drawingml/2006/main">
                <a:prstDash val="solid"/>
              </a:ln>
            </spPr>
          </marker>
          <xVal>
            <numRef>
              <f>'Vigas_Fisuracion'!$A$27:$A$77</f>
            </numRef>
          </xVal>
          <yVal>
            <numRef>
              <f>'Vigas_Fisuracion'!$C$27:$C$77</f>
            </numRef>
          </yVal>
          <smooth val="0"/>
        </ser>
        <ser>
          <idx val="2"/>
          <order val="2"/>
          <tx>
            <strRef>
              <f>'Vigas_Fisuracion'!G26</f>
            </strRef>
          </tx>
          <spPr>
            <a:ln xmlns:a="http://schemas.openxmlformats.org/drawingml/2006/main" w="25400">
              <a:solidFill>
                <a:srgbClr val="d03b3b"/>
              </a:solidFill>
              <a:prstDash val="dash"/>
            </a:ln>
          </spPr>
          <marker>
            <symbol val="none"/>
            <spPr>
              <a:ln xmlns:a="http://schemas.openxmlformats.org/drawingml/2006/main">
                <a:prstDash val="solid"/>
              </a:ln>
            </spPr>
          </marker>
          <xVal>
            <numRef>
              <f>'Vigas_Fisuracion'!$A$27:$A$77</f>
            </numRef>
          </xVal>
          <yVal>
            <numRef>
              <f>'Vigas_Fisuracion'!$G$27:$G$77</f>
            </numRef>
          </yVal>
          <smooth val="0"/>
        </ser>
        <axId val="10"/>
        <axId val="20"/>
      </scatterChart>
      <valAx>
        <axId val="10"/>
        <scaling>
          <orientation val="minMax"/>
          <max val="1"/>
          <min val="0"/>
        </scaling>
        <delete val="0"/>
        <axPos val="l"/>
        <majorGridlines/>
        <title>
          <tx>
            <rich>
              <a:bodyPr xmlns:a="http://schemas.openxmlformats.org/drawingml/2006/main"/>
              <a:p xmlns:a="http://schemas.openxmlformats.org/drawingml/2006/main">
                <a:pPr>
                  <a:defRPr/>
                </a:pPr>
                <a:r>
                  <a:t>ψ2,Qa</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σct/fctm</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style val="13"/>
  <chart>
    <title>
      <tx>
        <rich>
          <a:bodyPr xmlns:a="http://schemas.openxmlformats.org/drawingml/2006/main"/>
          <a:p xmlns:a="http://schemas.openxmlformats.org/drawingml/2006/main">
            <a:pPr>
              <a:defRPr/>
            </a:pPr>
            <a:r>
              <a:t>Paridad: propio frente a CYPE (valores absolutos, escala log)</a:t>
            </a:r>
          </a:p>
        </rich>
      </tx>
    </title>
    <plotArea>
      <scatterChart>
        <ser>
          <idx val="0"/>
          <order val="0"/>
          <tx>
            <strRef>
              <f>'Comparacion_CYPE'!N4</f>
            </strRef>
          </tx>
          <spPr>
            <a:ln xmlns:a="http://schemas.openxmlformats.org/drawingml/2006/main">
              <a:noFill/>
              <a:prstDash val="solid"/>
            </a:ln>
          </spPr>
          <marker>
            <symbol val="circle"/>
            <size val="6"/>
            <spPr>
              <a:solidFill xmlns:a="http://schemas.openxmlformats.org/drawingml/2006/main">
                <a:srgbClr val="2a78d6"/>
              </a:solidFill>
              <a:ln xmlns:a="http://schemas.openxmlformats.org/drawingml/2006/main">
                <a:solidFill>
                  <a:srgbClr val="FFFFFF"/>
                </a:solidFill>
                <a:prstDash val="solid"/>
              </a:ln>
            </spPr>
          </marker>
          <xVal>
            <numRef>
              <f>'Comparacion_CYPE'!$M$5:$M$177</f>
            </numRef>
          </xVal>
          <yVal>
            <numRef>
              <f>'Comparacion_CYPE'!$N$5:$N$177</f>
            </numRef>
          </yVal>
        </ser>
        <ser>
          <idx val="1"/>
          <order val="1"/>
          <tx>
            <strRef>
              <f>'Comparacion_CYPE'!P4</f>
            </strRef>
          </tx>
          <spPr>
            <a:ln xmlns:a="http://schemas.openxmlformats.org/drawingml/2006/main">
              <a:noFill/>
              <a:prstDash val="solid"/>
            </a:ln>
          </spPr>
          <marker>
            <symbol val="circle"/>
            <size val="6"/>
            <spPr>
              <a:solidFill xmlns:a="http://schemas.openxmlformats.org/drawingml/2006/main">
                <a:srgbClr val="eb6834"/>
              </a:solidFill>
              <a:ln xmlns:a="http://schemas.openxmlformats.org/drawingml/2006/main">
                <a:solidFill>
                  <a:srgbClr val="FFFFFF"/>
                </a:solidFill>
                <a:prstDash val="solid"/>
              </a:ln>
            </spPr>
          </marker>
          <xVal>
            <numRef>
              <f>'Comparacion_CYPE'!$O$5:$O$107</f>
            </numRef>
          </xVal>
          <yVal>
            <numRef>
              <f>'Comparacion_CYPE'!$P$5:$P$107</f>
            </numRef>
          </yVal>
        </ser>
        <ser>
          <idx val="2"/>
          <order val="2"/>
          <tx>
            <strRef>
              <f>'Comparacion_CYPE'!R4</f>
            </strRef>
          </tx>
          <spPr>
            <a:ln xmlns:a="http://schemas.openxmlformats.org/drawingml/2006/main" w="15875">
              <a:solidFill>
                <a:srgbClr val="52514e"/>
              </a:solidFill>
              <a:prstDash val="solid"/>
            </a:ln>
          </spPr>
          <marker>
            <symbol val="none"/>
            <spPr>
              <a:ln xmlns:a="http://schemas.openxmlformats.org/drawingml/2006/main">
                <a:prstDash val="solid"/>
              </a:ln>
            </spPr>
          </marker>
          <xVal>
            <numRef>
              <f>'Comparacion_CYPE'!$Q$5:$Q$6</f>
            </numRef>
          </xVal>
          <yVal>
            <numRef>
              <f>'Comparacion_CYPE'!$R$5:$R$6</f>
            </numRef>
          </yVal>
          <smooth val="0"/>
        </ser>
        <axId val="10"/>
        <axId val="20"/>
      </scatterChart>
      <valAx>
        <axId val="10"/>
        <scaling>
          <logBase val="10"/>
          <orientation val="minMax"/>
        </scaling>
        <delete val="0"/>
        <axPos val="l"/>
        <majorGridlines/>
        <title>
          <tx>
            <rich>
              <a:bodyPr xmlns:a="http://schemas.openxmlformats.org/drawingml/2006/main"/>
              <a:p xmlns:a="http://schemas.openxmlformats.org/drawingml/2006/main">
                <a:pPr>
                  <a:defRPr/>
                </a:pPr>
                <a:r>
                  <a:t>|CYPE|</a:t>
                </a:r>
              </a:p>
            </rich>
          </tx>
        </title>
        <majorTickMark val="none"/>
        <minorTickMark val="none"/>
        <crossAx val="20"/>
      </valAx>
      <valAx>
        <axId val="20"/>
        <scaling>
          <logBase val="10"/>
          <orientation val="minMax"/>
        </scaling>
        <delete val="0"/>
        <axPos val="l"/>
        <majorGridlines/>
        <title>
          <tx>
            <rich>
              <a:bodyPr xmlns:a="http://schemas.openxmlformats.org/drawingml/2006/main"/>
              <a:p xmlns:a="http://schemas.openxmlformats.org/drawingml/2006/main">
                <a:pPr>
                  <a:defRPr/>
                </a:pPr>
                <a:r>
                  <a:t>|propio|</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4.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5.xml.rels><Relationships xmlns="http://schemas.openxmlformats.org/package/2006/relationships"><Relationship Type="http://schemas.openxmlformats.org/officeDocument/2006/relationships/chart" Target="/xl/charts/chart8.xml" Id="rId1"/></Relationships>
</file>

<file path=xl/drawings/_rels/drawing6.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s>
</file>

<file path=xl/drawings/_rels/drawing7.xml.rels><Relationships xmlns="http://schemas.openxmlformats.org/package/2006/relationships"><Relationship Type="http://schemas.openxmlformats.org/officeDocument/2006/relationships/chart" Target="/xl/charts/chart11.xml" Id="rId1"/></Relationships>
</file>

<file path=xl/drawings/drawing1.xml><?xml version="1.0" encoding="utf-8"?>
<wsDr xmlns="http://schemas.openxmlformats.org/drawingml/2006/spreadsheetDrawing">
  <oneCellAnchor>
    <from>
      <col>21</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21</col>
      <colOff>0</colOff>
      <row>23</row>
      <rowOff>0</rowOff>
    </from>
    <ext cx="79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13</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col>
      <colOff>0</colOff>
      <row>21</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21</row>
      <rowOff>0</rowOff>
    </from>
    <ext cx="79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15</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22</row>
      <rowOff>0</rowOff>
    </from>
    <ext cx="79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23</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15</col>
      <colOff>0</colOff>
      <row>25</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45</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19</col>
      <colOff>0</colOff>
      <row>3</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M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24.5" customWidth="1" min="3" max="3"/>
    <col width="17.3" customWidth="1" min="4" max="4"/>
    <col width="16.4" customWidth="1" min="5" max="5"/>
    <col width="28" customWidth="1" min="6" max="6"/>
    <col width="19.1" customWidth="1" min="7" max="7"/>
    <col width="24.5" customWidth="1" min="8" max="8"/>
    <col width="28" customWidth="1" min="9" max="9"/>
    <col width="44" customWidth="1" min="10" max="10"/>
    <col width="20" customWidth="1" min="11" max="11"/>
    <col width="15.5" customWidth="1" min="12" max="12"/>
    <col width="60" customWidth="1" min="13" max="13"/>
  </cols>
  <sheetData>
    <row r="1">
      <c r="A1" s="1" t="inlineStr">
        <is>
          <t>Diseño a Código Estructural (CE 2021, Anejo 19) — Muelle de Trasmallo, módulo 40 m (Puerto de Cullera)</t>
        </is>
      </c>
    </row>
    <row r="2">
      <c r="A2" s="2" t="inlineStr">
        <is>
          <t>Esfuerzos SAP2000 v27.1; comprobaciones diseno/codigo (pilotes.py, vigas.py); veredicto final: Mode.CODIGO + base ROM (ψ0,Qa 1.0, ψ2,Qa 0.8, bolardo ψ2 0) + XS3 wmax 0.1 mm (cuasipermanente). Generado por diseno/run_diseno.py el 2026-09-23.</t>
        </is>
      </c>
    </row>
    <row r="3">
      <c r="A3" s="3" t="inlineStr">
        <is>
          <t>1. Veredicto por elemento (η = solicitación / capacidad)</t>
        </is>
      </c>
    </row>
    <row r="4" ht="32" customHeight="1">
      <c r="A4" s="4" t="inlineStr">
        <is>
          <t>Elemento</t>
        </is>
      </c>
      <c r="B4" s="4" t="inlineStr">
        <is>
          <t>Tipo / armado Anejo 10</t>
        </is>
      </c>
      <c r="C4" s="4" t="inlineStr">
        <is>
          <t>η ELU CYPE/cype (paridad)</t>
        </is>
      </c>
      <c r="D4" s="4" t="inlineStr">
        <is>
          <t>η ELU CYPE/codigo</t>
        </is>
      </c>
      <c r="E4" s="4" t="inlineStr">
        <is>
          <t>η ELU ROM/codigo</t>
        </is>
      </c>
      <c r="F4" s="4" t="inlineStr">
        <is>
          <t>η ELS ROM/codigo (armado actual)</t>
        </is>
      </c>
      <c r="G4" s="4" t="inlineStr">
        <is>
          <t>Veredicto CYPE/cype</t>
        </is>
      </c>
      <c r="H4" s="4" t="inlineStr">
        <is>
          <t>Veredicto CYPE/codigo</t>
        </is>
      </c>
      <c r="I4" s="4" t="inlineStr">
        <is>
          <t>Veredicto ROM/codigo (armado actual)</t>
        </is>
      </c>
      <c r="J4" s="4" t="inlineStr">
        <is>
          <t>Diseño final (armado)</t>
        </is>
      </c>
      <c r="K4" s="4" t="inlineStr">
        <is>
          <t>η determinante final</t>
        </is>
      </c>
      <c r="L4" s="4" t="inlineStr">
        <is>
          <t>Veredicto final</t>
        </is>
      </c>
      <c r="M4" s="4" t="inlineStr">
        <is>
          <t>Comprobación determinante / nota</t>
        </is>
      </c>
    </row>
    <row r="5">
      <c r="A5" s="5" t="inlineStr">
        <is>
          <t>P1 (mar, eje 1)</t>
        </is>
      </c>
      <c r="B5" s="6" t="inlineStr">
        <is>
          <t>Pilote 40x40 HA-50, 12Ø25 + 3cØ10/150</t>
        </is>
      </c>
      <c r="C5" s="7" t="n">
        <v>0.87219</v>
      </c>
      <c r="D5" s="7" t="n">
        <v>0.8821</v>
      </c>
      <c r="E5" s="7" t="n">
        <v>0.91918</v>
      </c>
      <c r="F5" s="8" t="n">
        <v>1.109</v>
      </c>
      <c r="G5" s="9" t="inlineStr">
        <is>
          <t>NO CUMPLE</t>
        </is>
      </c>
      <c r="H5" s="9" t="inlineStr">
        <is>
          <t>NO CUMPLE</t>
        </is>
      </c>
      <c r="I5" s="9" t="inlineStr">
        <is>
          <t>NO CUMPLE</t>
        </is>
      </c>
      <c r="J5" s="6" t="inlineStr">
        <is>
          <t>12Ø25; cercos Ø10 c/150, c/100 en 0.40 m superiores</t>
        </is>
      </c>
      <c r="K5" s="7" t="n">
        <v>0.92039</v>
      </c>
      <c r="L5" s="10" t="inlineStr">
        <is>
          <t>CUMPLE (confinamiento)</t>
        </is>
      </c>
      <c r="M5" s="6" t="inlineStr">
        <is>
          <t>disposiciones (As ≤ 0.04Ac); σc/0.6fck = 1.109 (Ecm) / 0.966 (Ec,eff): confinamiento A19.7.2(2)</t>
        </is>
      </c>
    </row>
    <row r="6">
      <c r="A6" s="5" t="inlineStr">
        <is>
          <t>P2 (tierra, eje 1)</t>
        </is>
      </c>
      <c r="B6" s="6" t="inlineStr">
        <is>
          <t>Pilote 40x40 HA-50, 12Ø25 + 3cØ10/150</t>
        </is>
      </c>
      <c r="C6" s="7" t="n">
        <v>0.83675</v>
      </c>
      <c r="D6" s="7" t="n">
        <v>0.8146600000000001</v>
      </c>
      <c r="E6" s="7" t="n">
        <v>0.8146600000000001</v>
      </c>
      <c r="F6" s="8" t="n">
        <v>1.055</v>
      </c>
      <c r="G6" s="9" t="inlineStr">
        <is>
          <t>NO CUMPLE</t>
        </is>
      </c>
      <c r="H6" s="9" t="inlineStr">
        <is>
          <t>NO CUMPLE</t>
        </is>
      </c>
      <c r="I6" s="9" t="inlineStr">
        <is>
          <t>NO CUMPLE</t>
        </is>
      </c>
      <c r="J6" s="6" t="inlineStr">
        <is>
          <t>12Ø25; cercos Ø10 c/150, c/100 en 0.40 m superiores</t>
        </is>
      </c>
      <c r="K6" s="7" t="n">
        <v>0.92039</v>
      </c>
      <c r="L6" s="10" t="inlineStr">
        <is>
          <t>CUMPLE (confinamiento)</t>
        </is>
      </c>
      <c r="M6" s="6" t="inlineStr">
        <is>
          <t>disposiciones (As ≤ 0.04Ac); σc/0.6fck = 1.055 (Ecm) / 0.899 (Ec,eff): confinamiento A19.7.2(2)</t>
        </is>
      </c>
    </row>
    <row r="7">
      <c r="A7" s="5" t="inlineStr">
        <is>
          <t>P3 (mar, eje 2)</t>
        </is>
      </c>
      <c r="B7" s="6" t="inlineStr">
        <is>
          <t>Pilote 40x40 HA-50, 12Ø25 + 3cØ10/150</t>
        </is>
      </c>
      <c r="C7" s="7" t="n">
        <v>0.92019</v>
      </c>
      <c r="D7" s="7" t="n">
        <v>0.93335</v>
      </c>
      <c r="E7" s="11" t="n">
        <v>0.98746</v>
      </c>
      <c r="F7" s="8" t="n">
        <v>1.01</v>
      </c>
      <c r="G7" s="9" t="inlineStr">
        <is>
          <t>NO CUMPLE</t>
        </is>
      </c>
      <c r="H7" s="9" t="inlineStr">
        <is>
          <t>NO CUMPLE</t>
        </is>
      </c>
      <c r="I7" s="9" t="inlineStr">
        <is>
          <t>NO CUMPLE</t>
        </is>
      </c>
      <c r="J7" s="6" t="inlineStr">
        <is>
          <t>12Ø25; cercos Ø10 c/150, c/100 en 0.40 m superiores</t>
        </is>
      </c>
      <c r="K7" s="11" t="n">
        <v>0.98746</v>
      </c>
      <c r="L7" s="10" t="inlineStr">
        <is>
          <t>CUMPLE (confinamiento)</t>
        </is>
      </c>
      <c r="M7" s="6" t="inlineStr">
        <is>
          <t>N-M 2º orden; σc/0.6fck = 1.010 (Ecm) / 0.923 (Ec,eff): confinamiento A19.7.2(2)</t>
        </is>
      </c>
    </row>
    <row r="8">
      <c r="A8" s="5" t="inlineStr">
        <is>
          <t>P4 (tierra, eje 2)</t>
        </is>
      </c>
      <c r="B8" s="6" t="inlineStr">
        <is>
          <t>Pilote 40x40 HA-50, 12Ø25 + 3cØ10/150</t>
        </is>
      </c>
      <c r="C8" s="7" t="n">
        <v>0.76028</v>
      </c>
      <c r="D8" s="7" t="n">
        <v>0.7635999999999999</v>
      </c>
      <c r="E8" s="7" t="n">
        <v>0.7635999999999999</v>
      </c>
      <c r="F8" s="7" t="n">
        <v>0.80579</v>
      </c>
      <c r="G8" s="12" t="inlineStr">
        <is>
          <t>CUMPLE</t>
        </is>
      </c>
      <c r="H8" s="12" t="inlineStr">
        <is>
          <t>CUMPLE</t>
        </is>
      </c>
      <c r="I8" s="12" t="inlineStr">
        <is>
          <t>CUMPLE</t>
        </is>
      </c>
      <c r="J8" s="6" t="inlineStr">
        <is>
          <t>12Ø25; cercos Ø10 c/150, c/100 en 0.40 m superiores</t>
        </is>
      </c>
      <c r="K8" s="7" t="n">
        <v>0.92039</v>
      </c>
      <c r="L8" s="12" t="inlineStr">
        <is>
          <t>CUMPLE</t>
        </is>
      </c>
      <c r="M8" s="6" t="inlineStr">
        <is>
          <t>disposiciones (As ≤ 0.04Ac)</t>
        </is>
      </c>
    </row>
    <row r="9">
      <c r="A9" s="5" t="inlineStr">
        <is>
          <t>P5 (mar, eje 3)</t>
        </is>
      </c>
      <c r="B9" s="6" t="inlineStr">
        <is>
          <t>Pilote 40x40 HA-50, 12Ø25 + 3cØ10/150</t>
        </is>
      </c>
      <c r="C9" s="7" t="n">
        <v>0.86534</v>
      </c>
      <c r="D9" s="7" t="n">
        <v>0.8785500000000001</v>
      </c>
      <c r="E9" s="7" t="n">
        <v>0.91514</v>
      </c>
      <c r="F9" s="7" t="n">
        <v>0.89286</v>
      </c>
      <c r="G9" s="12" t="inlineStr">
        <is>
          <t>CUMPLE</t>
        </is>
      </c>
      <c r="H9" s="12" t="inlineStr">
        <is>
          <t>CUMPLE</t>
        </is>
      </c>
      <c r="I9" s="12" t="inlineStr">
        <is>
          <t>CUMPLE</t>
        </is>
      </c>
      <c r="J9" s="6" t="inlineStr">
        <is>
          <t>12Ø25; cercos Ø10 c/150, c/100 en 0.40 m superiores</t>
        </is>
      </c>
      <c r="K9" s="7" t="n">
        <v>0.92039</v>
      </c>
      <c r="L9" s="12" t="inlineStr">
        <is>
          <t>CUMPLE</t>
        </is>
      </c>
      <c r="M9" s="6" t="inlineStr">
        <is>
          <t>disposiciones (As ≤ 0.04Ac)</t>
        </is>
      </c>
    </row>
    <row r="10">
      <c r="A10" s="5" t="inlineStr">
        <is>
          <t>P6 (tierra, eje 3)</t>
        </is>
      </c>
      <c r="B10" s="6" t="inlineStr">
        <is>
          <t>Pilote 40x40 HA-50, 12Ø25 + 3cØ10/150</t>
        </is>
      </c>
      <c r="C10" s="7" t="n">
        <v>0.76567</v>
      </c>
      <c r="D10" s="7" t="n">
        <v>0.7628200000000001</v>
      </c>
      <c r="E10" s="7" t="n">
        <v>0.7628200000000001</v>
      </c>
      <c r="F10" s="7" t="n">
        <v>0.79872</v>
      </c>
      <c r="G10" s="12" t="inlineStr">
        <is>
          <t>CUMPLE</t>
        </is>
      </c>
      <c r="H10" s="12" t="inlineStr">
        <is>
          <t>CUMPLE</t>
        </is>
      </c>
      <c r="I10" s="12" t="inlineStr">
        <is>
          <t>CUMPLE</t>
        </is>
      </c>
      <c r="J10" s="6" t="inlineStr">
        <is>
          <t>12Ø25; cercos Ø10 c/150, c/100 en 0.40 m superiores</t>
        </is>
      </c>
      <c r="K10" s="7" t="n">
        <v>0.92039</v>
      </c>
      <c r="L10" s="12" t="inlineStr">
        <is>
          <t>CUMPLE</t>
        </is>
      </c>
      <c r="M10" s="6" t="inlineStr">
        <is>
          <t>disposiciones (As ≤ 0.04Ac)</t>
        </is>
      </c>
    </row>
    <row r="11">
      <c r="A11" s="5" t="inlineStr">
        <is>
          <t>P7 (mar, eje 4)</t>
        </is>
      </c>
      <c r="B11" s="6" t="inlineStr">
        <is>
          <t>Pilote 40x40 HA-50, 12Ø25 + 3cØ10/150</t>
        </is>
      </c>
      <c r="C11" s="7" t="n">
        <v>0.86555</v>
      </c>
      <c r="D11" s="7" t="n">
        <v>0.87825</v>
      </c>
      <c r="E11" s="7" t="n">
        <v>0.92353</v>
      </c>
      <c r="F11" s="7" t="n">
        <v>0.90034</v>
      </c>
      <c r="G11" s="12" t="inlineStr">
        <is>
          <t>CUMPLE</t>
        </is>
      </c>
      <c r="H11" s="12" t="inlineStr">
        <is>
          <t>CUMPLE</t>
        </is>
      </c>
      <c r="I11" s="12" t="inlineStr">
        <is>
          <t>CUMPLE</t>
        </is>
      </c>
      <c r="J11" s="6" t="inlineStr">
        <is>
          <t>12Ø25; cercos Ø10 c/150, c/100 en 0.40 m superiores</t>
        </is>
      </c>
      <c r="K11" s="7" t="n">
        <v>0.92353</v>
      </c>
      <c r="L11" s="12" t="inlineStr">
        <is>
          <t>CUMPLE</t>
        </is>
      </c>
      <c r="M11" s="6" t="inlineStr">
        <is>
          <t>N-M 2º orden</t>
        </is>
      </c>
    </row>
    <row r="12">
      <c r="A12" s="5" t="inlineStr">
        <is>
          <t>P8 (tierra, eje 4)</t>
        </is>
      </c>
      <c r="B12" s="6" t="inlineStr">
        <is>
          <t>Pilote 40x40 HA-50, 12Ø25 + 3cØ10/150</t>
        </is>
      </c>
      <c r="C12" s="7" t="n">
        <v>0.73624</v>
      </c>
      <c r="D12" s="7" t="n">
        <v>0.73943</v>
      </c>
      <c r="E12" s="7" t="n">
        <v>0.73943</v>
      </c>
      <c r="F12" s="7" t="n">
        <v>0.7766</v>
      </c>
      <c r="G12" s="12" t="inlineStr">
        <is>
          <t>CUMPLE</t>
        </is>
      </c>
      <c r="H12" s="12" t="inlineStr">
        <is>
          <t>CUMPLE</t>
        </is>
      </c>
      <c r="I12" s="12" t="inlineStr">
        <is>
          <t>CUMPLE</t>
        </is>
      </c>
      <c r="J12" s="6" t="inlineStr">
        <is>
          <t>12Ø25; cercos Ø10 c/150, c/100 en 0.40 m superiores</t>
        </is>
      </c>
      <c r="K12" s="7" t="n">
        <v>0.92039</v>
      </c>
      <c r="L12" s="12" t="inlineStr">
        <is>
          <t>CUMPLE</t>
        </is>
      </c>
      <c r="M12" s="6" t="inlineStr">
        <is>
          <t>disposiciones (As ≤ 0.04Ac)</t>
        </is>
      </c>
    </row>
    <row r="13">
      <c r="A13" s="5" t="inlineStr">
        <is>
          <t>P13 (mar, eje 5)</t>
        </is>
      </c>
      <c r="B13" s="6" t="inlineStr">
        <is>
          <t>Pilote 40x40 HA-50, 12Ø25 + 3cØ10/150</t>
        </is>
      </c>
      <c r="C13" s="7" t="n">
        <v>0.84217</v>
      </c>
      <c r="D13" s="7" t="n">
        <v>0.8551</v>
      </c>
      <c r="E13" s="7" t="n">
        <v>0.89266</v>
      </c>
      <c r="F13" s="7" t="n">
        <v>0.87339</v>
      </c>
      <c r="G13" s="12" t="inlineStr">
        <is>
          <t>CUMPLE</t>
        </is>
      </c>
      <c r="H13" s="12" t="inlineStr">
        <is>
          <t>CUMPLE</t>
        </is>
      </c>
      <c r="I13" s="12" t="inlineStr">
        <is>
          <t>CUMPLE</t>
        </is>
      </c>
      <c r="J13" s="6" t="inlineStr">
        <is>
          <t>12Ø25; cercos Ø10 c/150, c/100 en 0.40 m superiores</t>
        </is>
      </c>
      <c r="K13" s="7" t="n">
        <v>0.92039</v>
      </c>
      <c r="L13" s="12" t="inlineStr">
        <is>
          <t>CUMPLE</t>
        </is>
      </c>
      <c r="M13" s="6" t="inlineStr">
        <is>
          <t>disposiciones (As ≤ 0.04Ac)</t>
        </is>
      </c>
    </row>
    <row r="14">
      <c r="A14" s="5" t="inlineStr">
        <is>
          <t>P14 (tierra, eje 5)</t>
        </is>
      </c>
      <c r="B14" s="6" t="inlineStr">
        <is>
          <t>Pilote 40x40 HA-50, 12Ø25 + 3cØ10/150</t>
        </is>
      </c>
      <c r="C14" s="7" t="n">
        <v>0.73408</v>
      </c>
      <c r="D14" s="7" t="n">
        <v>0.73497</v>
      </c>
      <c r="E14" s="7" t="n">
        <v>0.73497</v>
      </c>
      <c r="F14" s="7" t="n">
        <v>0.7656500000000001</v>
      </c>
      <c r="G14" s="12" t="inlineStr">
        <is>
          <t>CUMPLE</t>
        </is>
      </c>
      <c r="H14" s="12" t="inlineStr">
        <is>
          <t>CUMPLE</t>
        </is>
      </c>
      <c r="I14" s="12" t="inlineStr">
        <is>
          <t>CUMPLE</t>
        </is>
      </c>
      <c r="J14" s="6" t="inlineStr">
        <is>
          <t>12Ø25; cercos Ø10 c/150, c/100 en 0.40 m superiores</t>
        </is>
      </c>
      <c r="K14" s="7" t="n">
        <v>0.92039</v>
      </c>
      <c r="L14" s="12" t="inlineStr">
        <is>
          <t>CUMPLE</t>
        </is>
      </c>
      <c r="M14" s="6" t="inlineStr">
        <is>
          <t>disposiciones (As ≤ 0.04Ac)</t>
        </is>
      </c>
    </row>
    <row r="15">
      <c r="A15" s="5" t="inlineStr">
        <is>
          <t>P15 (mar, eje 6)</t>
        </is>
      </c>
      <c r="B15" s="6" t="inlineStr">
        <is>
          <t>Pilote 40x40 HA-50, 12Ø25 + 3cØ10/150</t>
        </is>
      </c>
      <c r="C15" s="7" t="n">
        <v>0.86848</v>
      </c>
      <c r="D15" s="7" t="n">
        <v>0.88119</v>
      </c>
      <c r="E15" s="7" t="n">
        <v>0.93665</v>
      </c>
      <c r="F15" s="7" t="n">
        <v>0.94693</v>
      </c>
      <c r="G15" s="12" t="inlineStr">
        <is>
          <t>CUMPLE</t>
        </is>
      </c>
      <c r="H15" s="12" t="inlineStr">
        <is>
          <t>CUMPLE</t>
        </is>
      </c>
      <c r="I15" s="12" t="inlineStr">
        <is>
          <t>CUMPLE</t>
        </is>
      </c>
      <c r="J15" s="6" t="inlineStr">
        <is>
          <t>12Ø25; cercos Ø10 c/150, c/100 en 0.40 m superiores</t>
        </is>
      </c>
      <c r="K15" s="7" t="n">
        <v>0.93665</v>
      </c>
      <c r="L15" s="12" t="inlineStr">
        <is>
          <t>CUMPLE</t>
        </is>
      </c>
      <c r="M15" s="6" t="inlineStr">
        <is>
          <t>N-M 2º orden</t>
        </is>
      </c>
    </row>
    <row r="16">
      <c r="A16" s="5" t="inlineStr">
        <is>
          <t>P16 (mar, eje 7)</t>
        </is>
      </c>
      <c r="B16" s="6" t="inlineStr">
        <is>
          <t>Pilote 40x40 HA-50, 12Ø25 + 3cØ10/150</t>
        </is>
      </c>
      <c r="C16" s="7" t="n">
        <v>0.79538</v>
      </c>
      <c r="D16" s="7" t="n">
        <v>0.8042899999999999</v>
      </c>
      <c r="E16" s="7" t="n">
        <v>0.84282</v>
      </c>
      <c r="F16" s="8" t="n">
        <v>1.034</v>
      </c>
      <c r="G16" s="9" t="inlineStr">
        <is>
          <t>NO CUMPLE</t>
        </is>
      </c>
      <c r="H16" s="9" t="inlineStr">
        <is>
          <t>NO CUMPLE</t>
        </is>
      </c>
      <c r="I16" s="9" t="inlineStr">
        <is>
          <t>NO CUMPLE</t>
        </is>
      </c>
      <c r="J16" s="6" t="inlineStr">
        <is>
          <t>12Ø25; cercos Ø10 c/150, c/100 en 0.40 m superiores</t>
        </is>
      </c>
      <c r="K16" s="7" t="n">
        <v>0.92039</v>
      </c>
      <c r="L16" s="10" t="inlineStr">
        <is>
          <t>CUMPLE (confinamiento)</t>
        </is>
      </c>
      <c r="M16" s="6" t="inlineStr">
        <is>
          <t>disposiciones (As ≤ 0.04Ac); σc/0.6fck = 1.034 (Ecm) / 0.890 (Ec,eff): confinamiento A19.7.2(2)</t>
        </is>
      </c>
    </row>
    <row r="17">
      <c r="A17" s="5" t="inlineStr">
        <is>
          <t>P17 (tierra, eje 6)</t>
        </is>
      </c>
      <c r="B17" s="6" t="inlineStr">
        <is>
          <t>Pilote 40x40 HA-50, 12Ø25 + 3cØ10/150</t>
        </is>
      </c>
      <c r="C17" s="7" t="n">
        <v>0.70695</v>
      </c>
      <c r="D17" s="7" t="n">
        <v>0.71003</v>
      </c>
      <c r="E17" s="7" t="n">
        <v>0.71003</v>
      </c>
      <c r="F17" s="7" t="n">
        <v>0.75964</v>
      </c>
      <c r="G17" s="12" t="inlineStr">
        <is>
          <t>CUMPLE</t>
        </is>
      </c>
      <c r="H17" s="12" t="inlineStr">
        <is>
          <t>CUMPLE</t>
        </is>
      </c>
      <c r="I17" s="12" t="inlineStr">
        <is>
          <t>CUMPLE</t>
        </is>
      </c>
      <c r="J17" s="6" t="inlineStr">
        <is>
          <t>12Ø25; cercos Ø10 c/150, c/100 en 0.40 m superiores</t>
        </is>
      </c>
      <c r="K17" s="7" t="n">
        <v>0.92039</v>
      </c>
      <c r="L17" s="12" t="inlineStr">
        <is>
          <t>CUMPLE</t>
        </is>
      </c>
      <c r="M17" s="6" t="inlineStr">
        <is>
          <t>disposiciones (As ≤ 0.04Ac)</t>
        </is>
      </c>
    </row>
    <row r="18">
      <c r="A18" s="5" t="inlineStr">
        <is>
          <t>P18 (tierra, eje 7)</t>
        </is>
      </c>
      <c r="B18" s="6" t="inlineStr">
        <is>
          <t>Pilote 40x40 HA-50, 12Ø25 + 3cØ10/150</t>
        </is>
      </c>
      <c r="C18" s="7" t="n">
        <v>0.73864</v>
      </c>
      <c r="D18" s="7" t="n">
        <v>0.73046</v>
      </c>
      <c r="E18" s="7" t="n">
        <v>0.73046</v>
      </c>
      <c r="F18" s="11" t="n">
        <v>0.96316</v>
      </c>
      <c r="G18" s="12" t="inlineStr">
        <is>
          <t>CUMPLE</t>
        </is>
      </c>
      <c r="H18" s="12" t="inlineStr">
        <is>
          <t>CUMPLE</t>
        </is>
      </c>
      <c r="I18" s="12" t="inlineStr">
        <is>
          <t>CUMPLE</t>
        </is>
      </c>
      <c r="J18" s="6" t="inlineStr">
        <is>
          <t>12Ø25; cercos Ø10 c/150, c/100 en 0.40 m superiores</t>
        </is>
      </c>
      <c r="K18" s="7" t="n">
        <v>0.92039</v>
      </c>
      <c r="L18" s="12" t="inlineStr">
        <is>
          <t>CUMPLE</t>
        </is>
      </c>
      <c r="M18" s="6" t="inlineStr">
        <is>
          <t>disposiciones (As ≤ 0.04Ac)</t>
        </is>
      </c>
    </row>
    <row r="19">
      <c r="A19" s="5" t="inlineStr">
        <is>
          <t>VT1 Eje 1 (pórtico 3)</t>
        </is>
      </c>
      <c r="B19" s="6" t="inlineStr">
        <is>
          <t>L inv. 80x55+15x30: 5Ø20 sup. / 5Ø20+1Ø20 inf. / 3r Ø10/100</t>
        </is>
      </c>
      <c r="C19" s="11" t="n">
        <v>0.9635</v>
      </c>
      <c r="D19" s="7" t="n">
        <v>0.9493</v>
      </c>
      <c r="E19" s="11" t="n">
        <v>0.9727</v>
      </c>
      <c r="F19" s="7" t="n">
        <v>0.7146</v>
      </c>
      <c r="G19" s="12" t="inlineStr">
        <is>
          <t>CUMPLE</t>
        </is>
      </c>
      <c r="H19" s="12" t="inlineStr">
        <is>
          <t>CUMPLE</t>
        </is>
      </c>
      <c r="I19" s="12" t="inlineStr">
        <is>
          <t>CUMPLE</t>
        </is>
      </c>
      <c r="J19" s="6" t="inlineStr">
        <is>
          <t>sin cambio</t>
        </is>
      </c>
      <c r="K19" s="11" t="n">
        <v>0.9727</v>
      </c>
      <c r="L19" s="12" t="inlineStr">
        <is>
          <t>CUMPLE</t>
        </is>
      </c>
      <c r="M19" s="6" t="inlineStr">
        <is>
          <t>torsión</t>
        </is>
      </c>
    </row>
    <row r="20">
      <c r="A20" s="5" t="inlineStr">
        <is>
          <t>VT2 Eje 2 (pórtico 4)</t>
        </is>
      </c>
      <c r="B20" s="6" t="inlineStr">
        <is>
          <t>T inv. 50x55+15x30+15x30: 5Ø20 sup. / 5Ø20+2Ø20 inf. / 3r Ø10/100</t>
        </is>
      </c>
      <c r="C20" s="7" t="n">
        <v>0.9436</v>
      </c>
      <c r="D20" s="7" t="n">
        <v>0.7662</v>
      </c>
      <c r="E20" s="7" t="n">
        <v>0.77</v>
      </c>
      <c r="F20" s="8" t="n">
        <v>1.7202</v>
      </c>
      <c r="G20" s="12" t="inlineStr">
        <is>
          <t>CUMPLE</t>
        </is>
      </c>
      <c r="H20" s="12" t="inlineStr">
        <is>
          <t>CUMPLE</t>
        </is>
      </c>
      <c r="I20" s="9" t="inlineStr">
        <is>
          <t>NO CUMPLE</t>
        </is>
      </c>
      <c r="J20" s="6" t="inlineStr">
        <is>
          <t>inf. 8Ø20 alma + 4Ø16 alas (33.18 cm²); resto sin cambio</t>
        </is>
      </c>
      <c r="K20" s="11" t="n">
        <v>0.9618</v>
      </c>
      <c r="L20" s="12" t="inlineStr">
        <is>
          <t>CUMPLE</t>
        </is>
      </c>
      <c r="M20" s="6" t="inlineStr">
        <is>
          <t>fisuración ELS</t>
        </is>
      </c>
    </row>
    <row r="21">
      <c r="A21" s="5" t="inlineStr">
        <is>
          <t>VT3 Eje 3 (pórtico 5)</t>
        </is>
      </c>
      <c r="B21" s="6" t="inlineStr">
        <is>
          <t>T inv. 50x55+15x30+15x30: 5Ø20 sup. / 5Ø20+2Ø20 inf. / 3r Ø10/100</t>
        </is>
      </c>
      <c r="C21" s="7" t="n">
        <v>0.9262</v>
      </c>
      <c r="D21" s="7" t="n">
        <v>0.8759</v>
      </c>
      <c r="E21" s="7" t="n">
        <v>0.8789</v>
      </c>
      <c r="F21" s="8" t="n">
        <v>1.5498</v>
      </c>
      <c r="G21" s="12" t="inlineStr">
        <is>
          <t>CUMPLE</t>
        </is>
      </c>
      <c r="H21" s="12" t="inlineStr">
        <is>
          <t>CUMPLE</t>
        </is>
      </c>
      <c r="I21" s="9" t="inlineStr">
        <is>
          <t>NO CUMPLE</t>
        </is>
      </c>
      <c r="J21" s="6" t="inlineStr">
        <is>
          <t>inf. 8Ø20 alma + 4Ø16 alas (33.18 cm²); resto sin cambio</t>
        </is>
      </c>
      <c r="K21" s="7" t="n">
        <v>0.8784</v>
      </c>
      <c r="L21" s="12" t="inlineStr">
        <is>
          <t>CUMPLE</t>
        </is>
      </c>
      <c r="M21" s="6" t="inlineStr">
        <is>
          <t>flexión ELU</t>
        </is>
      </c>
    </row>
    <row r="22">
      <c r="A22" s="5" t="inlineStr">
        <is>
          <t>VT4 Eje 4 (pórtico 6)</t>
        </is>
      </c>
      <c r="B22" s="6" t="inlineStr">
        <is>
          <t>T inv. 50x55+15x30+15x30: 5Ø20 sup. / 5Ø20+2Ø20 inf. / 3r Ø10/100</t>
        </is>
      </c>
      <c r="C22" s="7" t="n">
        <v>0.8874</v>
      </c>
      <c r="D22" s="7" t="n">
        <v>0.7403999999999999</v>
      </c>
      <c r="E22" s="7" t="n">
        <v>0.7439</v>
      </c>
      <c r="F22" s="8" t="n">
        <v>1.5836</v>
      </c>
      <c r="G22" s="12" t="inlineStr">
        <is>
          <t>CUMPLE</t>
        </is>
      </c>
      <c r="H22" s="12" t="inlineStr">
        <is>
          <t>CUMPLE</t>
        </is>
      </c>
      <c r="I22" s="9" t="inlineStr">
        <is>
          <t>NO CUMPLE</t>
        </is>
      </c>
      <c r="J22" s="6" t="inlineStr">
        <is>
          <t>inf. 8Ø20 alma + 4Ø16 alas (33.18 cm²); resto sin cambio</t>
        </is>
      </c>
      <c r="K22" s="7" t="n">
        <v>0.8854</v>
      </c>
      <c r="L22" s="12" t="inlineStr">
        <is>
          <t>CUMPLE</t>
        </is>
      </c>
      <c r="M22" s="6" t="inlineStr">
        <is>
          <t>fisuración ELS</t>
        </is>
      </c>
    </row>
    <row r="23">
      <c r="A23" s="5" t="inlineStr">
        <is>
          <t>VT5 Eje 5 (pórtico 7)</t>
        </is>
      </c>
      <c r="B23" s="6" t="inlineStr">
        <is>
          <t>T inv. 50x55+15x30+15x30: 5Ø20 sup. / 5Ø20+2Ø20 inf. / 3r Ø10/100</t>
        </is>
      </c>
      <c r="C23" s="7" t="n">
        <v>0.9084</v>
      </c>
      <c r="D23" s="7" t="n">
        <v>0.8502999999999999</v>
      </c>
      <c r="E23" s="7" t="n">
        <v>0.8532999999999999</v>
      </c>
      <c r="F23" s="8" t="n">
        <v>1.5498</v>
      </c>
      <c r="G23" s="12" t="inlineStr">
        <is>
          <t>CUMPLE</t>
        </is>
      </c>
      <c r="H23" s="12" t="inlineStr">
        <is>
          <t>CUMPLE</t>
        </is>
      </c>
      <c r="I23" s="9" t="inlineStr">
        <is>
          <t>NO CUMPLE</t>
        </is>
      </c>
      <c r="J23" s="6" t="inlineStr">
        <is>
          <t>inf. 8Ø20 alma + 4Ø16 alas (33.18 cm²); resto sin cambio</t>
        </is>
      </c>
      <c r="K23" s="7" t="n">
        <v>0.8665</v>
      </c>
      <c r="L23" s="12" t="inlineStr">
        <is>
          <t>CUMPLE</t>
        </is>
      </c>
      <c r="M23" s="6" t="inlineStr">
        <is>
          <t>fisuración ELS</t>
        </is>
      </c>
    </row>
    <row r="24">
      <c r="A24" s="5" t="inlineStr">
        <is>
          <t>VT6 Eje 6 (pórtico 8)</t>
        </is>
      </c>
      <c r="B24" s="6" t="inlineStr">
        <is>
          <t>T inv. 50x55+15x30+15x30: 5Ø20 sup. / 5Ø20+2Ø20 inf. / 3r Ø10/100</t>
        </is>
      </c>
      <c r="C24" s="7" t="n">
        <v>0.9149</v>
      </c>
      <c r="D24" s="7" t="n">
        <v>0.7151</v>
      </c>
      <c r="E24" s="7" t="n">
        <v>0.7188</v>
      </c>
      <c r="F24" s="8" t="n">
        <v>1.7202</v>
      </c>
      <c r="G24" s="12" t="inlineStr">
        <is>
          <t>CUMPLE</t>
        </is>
      </c>
      <c r="H24" s="12" t="inlineStr">
        <is>
          <t>CUMPLE</t>
        </is>
      </c>
      <c r="I24" s="9" t="inlineStr">
        <is>
          <t>NO CUMPLE</t>
        </is>
      </c>
      <c r="J24" s="6" t="inlineStr">
        <is>
          <t>inf. 8Ø20 alma + 4Ø16 alas (33.18 cm²); resto sin cambio</t>
        </is>
      </c>
      <c r="K24" s="11" t="n">
        <v>0.9618</v>
      </c>
      <c r="L24" s="12" t="inlineStr">
        <is>
          <t>CUMPLE</t>
        </is>
      </c>
      <c r="M24" s="6" t="inlineStr">
        <is>
          <t>fisuración ELS</t>
        </is>
      </c>
    </row>
    <row r="25">
      <c r="A25" s="5" t="inlineStr">
        <is>
          <t>VT7 Eje 7 (pórtico 9)</t>
        </is>
      </c>
      <c r="B25" s="6" t="inlineStr">
        <is>
          <t>L inv. 80x55+15x30: 5Ø20 sup. / 5Ø20+1Ø20 inf. / 3r Ø10/100</t>
        </is>
      </c>
      <c r="C25" s="7" t="n">
        <v>0.8884</v>
      </c>
      <c r="D25" s="7" t="n">
        <v>0.8824</v>
      </c>
      <c r="E25" s="7" t="n">
        <v>0.9056999999999999</v>
      </c>
      <c r="F25" s="7" t="n">
        <v>0.6536999999999999</v>
      </c>
      <c r="G25" s="12" t="inlineStr">
        <is>
          <t>CUMPLE</t>
        </is>
      </c>
      <c r="H25" s="12" t="inlineStr">
        <is>
          <t>CUMPLE</t>
        </is>
      </c>
      <c r="I25" s="12" t="inlineStr">
        <is>
          <t>CUMPLE</t>
        </is>
      </c>
      <c r="J25" s="6" t="inlineStr">
        <is>
          <t>sin cambio</t>
        </is>
      </c>
      <c r="K25" s="11" t="n">
        <v>0.9583</v>
      </c>
      <c r="L25" s="12" t="inlineStr">
        <is>
          <t>CUMPLE</t>
        </is>
      </c>
      <c r="M25" s="6" t="inlineStr">
        <is>
          <t>disposiciones</t>
        </is>
      </c>
    </row>
    <row r="26">
      <c r="A26" s="5" t="inlineStr">
        <is>
          <t>VBM Borde mar (pórtico 1)</t>
        </is>
      </c>
      <c r="B26" s="6" t="inlineStr">
        <is>
          <t>25x30: 2Ø16 sup. / 2Ø16 inf. / cØ8/150</t>
        </is>
      </c>
      <c r="C26" s="8" t="n">
        <v>1.0413</v>
      </c>
      <c r="D26" s="7" t="n">
        <v>0.9275</v>
      </c>
      <c r="E26" s="7" t="n">
        <v>0.9308</v>
      </c>
      <c r="F26" s="8" t="n">
        <v>3.0634</v>
      </c>
      <c r="G26" s="9" t="inlineStr">
        <is>
          <t>NO CUMPLE</t>
        </is>
      </c>
      <c r="H26" s="9" t="inlineStr">
        <is>
          <t>NO CUMPLE</t>
        </is>
      </c>
      <c r="I26" s="9" t="inlineStr">
        <is>
          <t>NO CUMPLE</t>
        </is>
      </c>
      <c r="J26" s="6" t="inlineStr">
        <is>
          <t>sup. 3Ø25 sobre apoyos (condicionado, F5)</t>
        </is>
      </c>
      <c r="K26" s="7" t="n">
        <v>0.8715000000000001</v>
      </c>
      <c r="L26" s="10" t="inlineStr">
        <is>
          <t>CUMPLE (condicionado)</t>
        </is>
      </c>
      <c r="M26" s="6" t="inlineStr">
        <is>
          <t>disposiciones</t>
        </is>
      </c>
    </row>
    <row r="27">
      <c r="A27" s="5" t="inlineStr">
        <is>
          <t>VBT Borde tierra (pórtico 10)</t>
        </is>
      </c>
      <c r="B27" s="6" t="inlineStr">
        <is>
          <t>25x30: 2Ø16 sup. / 2Ø16 inf. / cØ8/150</t>
        </is>
      </c>
      <c r="C27" s="8" t="n">
        <v>1.0808</v>
      </c>
      <c r="D27" s="7" t="n">
        <v>0.9423</v>
      </c>
      <c r="E27" s="11" t="n">
        <v>0.9526</v>
      </c>
      <c r="F27" s="8" t="n">
        <v>3.0834</v>
      </c>
      <c r="G27" s="9" t="inlineStr">
        <is>
          <t>NO CUMPLE</t>
        </is>
      </c>
      <c r="H27" s="9" t="inlineStr">
        <is>
          <t>NO CUMPLE</t>
        </is>
      </c>
      <c r="I27" s="9" t="inlineStr">
        <is>
          <t>NO CUMPLE</t>
        </is>
      </c>
      <c r="J27" s="6" t="inlineStr">
        <is>
          <t>sup. 3Ø25 sobre apoyos (condicionado, F5)</t>
        </is>
      </c>
      <c r="K27" s="7" t="n">
        <v>0.8715000000000001</v>
      </c>
      <c r="L27" s="10" t="inlineStr">
        <is>
          <t>CUMPLE (condicionado)</t>
        </is>
      </c>
      <c r="M27" s="6" t="inlineStr">
        <is>
          <t>disposiciones</t>
        </is>
      </c>
    </row>
    <row r="29">
      <c r="A29" s="13" t="inlineStr">
        <is>
          <t>Leyenda</t>
        </is>
      </c>
    </row>
    <row r="30">
      <c r="A30" s="14" t="inlineStr">
        <is>
          <t xml:space="preserve">  </t>
        </is>
      </c>
      <c r="B30" t="inlineStr">
        <is>
          <t>η ≤ 0.95 / CUMPLE</t>
        </is>
      </c>
    </row>
    <row r="31">
      <c r="A31" s="15" t="inlineStr">
        <is>
          <t xml:space="preserve">  </t>
        </is>
      </c>
      <c r="B31" t="inlineStr">
        <is>
          <t>0.95 &lt; η ≤ 1.00 / CUMPLE con medida o condicionado</t>
        </is>
      </c>
    </row>
    <row r="32">
      <c r="A32" s="16" t="inlineStr">
        <is>
          <t xml:space="preserve">  </t>
        </is>
      </c>
      <c r="B32" t="inlineStr">
        <is>
          <t>η &gt; 1.00 / NO CUMPLE</t>
        </is>
      </c>
    </row>
    <row r="33">
      <c r="A33" t="inlineStr"/>
      <c r="B33" t="inlineStr">
        <is>
          <t>CYPE/cype = hipótesis del Anejo 10 (ψ0,Qa 0.7, ψ2,Qa 0.3) con las convenciones de CYPECAD (paridad); CYPE/codigo = mismas cargas, sección estricta al Código; ROM/codigo = ROM 2.0-11 (ψ0,Qa 1.0, ψ2,Qa 0.8), sección estricta: VEREDICTO.</t>
        </is>
      </c>
    </row>
    <row r="34">
      <c r="A34" t="inlineStr"/>
      <c r="B34" t="inlineStr">
        <is>
          <t>Pilotes: veredicto por base = ELU (N-M 1er/2º orden, cortante) + disposiciones + fisuración QP con el ψ2 de la base + σc ≤ 0.6fck y σs ≤ 0.8fyk (característica ELS01-08, igual en ambas bases). Vigas: casos CYPE / CE-CYPE / CE-ROM de vigas.py.</t>
        </is>
      </c>
    </row>
    <row r="35">
      <c r="A35" t="inlineStr"/>
      <c r="B35" t="inlineStr">
        <is>
          <t>Diseño final: η determinante de la verificación con el armado propuesto (vigas interiores y de borde) o con el dispuesto (vigas extremas, pilotes). Pilotes: el límite σc ≤ 0.6fck se cubre con el confinamiento de los cercos (A19.7.2(2) 'otras medidas'), ver F1.</t>
        </is>
      </c>
    </row>
    <row r="37">
      <c r="A37" s="3" t="inlineStr">
        <is>
          <t>2. Decisiones del diseño final (F0-F8)</t>
        </is>
      </c>
    </row>
    <row r="38">
      <c r="A38" s="17" t="inlineStr">
        <is>
          <t>Id</t>
        </is>
      </c>
      <c r="B38" s="17" t="inlineStr">
        <is>
          <t>Tema</t>
        </is>
      </c>
      <c r="C38" s="17" t="inlineStr">
        <is>
          <t>Decisión</t>
        </is>
      </c>
    </row>
    <row r="39" ht="42" customHeight="1">
      <c r="A39" s="18" t="inlineStr">
        <is>
          <t>F0</t>
        </is>
      </c>
      <c r="B39" s="19" t="inlineStr">
        <is>
          <t>Bases de cálculo / design bases</t>
        </is>
      </c>
      <c r="C39" s="19" t="inlineStr">
        <is>
          <t>'CYPE' = hipótesis del Anejo 10 (ψ0,Qa 0.7; ψ2,Qa 0.3, valor de edificación del CTE; tiro de bolardo tratado como viento, ψ2 0) para la paridad; 'ROM' = recomendada para un puerto: ROM 2.0-11 Tabla 4.6.4.1 (ψ0,Qa 1.0; ψ2,Qa 0.8; bolardo ψ2 0, con 0.5 como sensibilidad). Veredicto final = Mode.CODIGO (sección estricta al Código) + base ROM + XS3 wmax 0.1 mm (CE Art. 27 Tabla 27.2) en combinación cuasipermanente.</t>
        </is>
      </c>
    </row>
    <row r="40" ht="56" customHeight="1">
      <c r="A40" s="18" t="inlineStr">
        <is>
          <t>F1</t>
        </is>
      </c>
      <c r="B40" s="19" t="inlineStr">
        <is>
          <t>Pilotes 40x40 HA-50 (12Ø25 + 3 cercos Ø10/150)</t>
        </is>
      </c>
      <c r="C40" s="19" t="inlineStr">
        <is>
          <t>ELU cumple en todas las bases (η N-M 2º orden máx 0.987 en cabeza de P3, ROM; 0.920 paridad CYPE frente a 0.913 de CYPE), cortante 0.814, disposiciones (As 58.9 ≤ 0.04Ac = 64 cm²), sin fisurar en cuasipermanente (bolardo ψ2 0). σc ≤ 0.6fck (A19.7.2(2), XS) superada en cabeza de P1, P2, P3, P16 con Ecm para toda la carga característica (máx 1.109); con Ec,eff para la parte sostenida todas cumplen (máx 0.966). A19.7.2(2) admite 'otras medidas' como el confinamiento con armadura transversal -&gt; FINAL: se mantiene 12Ø25 y se reduce la separación de los cercos a Ø10 c/100 en los 0.40 m superiores de cada pilote (zona extrema, A19.9.5.3(4)); veredicto CUMPLE con esa medida. As,nec = 58.43 cm² (cabeza P3, ROM) frente a 58.91 dispuesta (0.99): 12Ø25 es necesaria y suficiente; los pilotes de tierra necesitarían ~39-46 cm² (16Ø20) pero se mantiene un pilote prefabricado uniforme.</t>
        </is>
      </c>
    </row>
    <row r="41" ht="28" customHeight="1">
      <c r="A41" s="18" t="inlineStr">
        <is>
          <t>F2</t>
        </is>
      </c>
      <c r="B41" s="19" t="inlineStr">
        <is>
          <t>Tiro de bolardo ψ2 = 0</t>
        </is>
      </c>
      <c r="C41" s="19" t="inlineStr">
        <is>
          <t>Se mantiene ψ2 = 0 como en el proyecto original (el tiro de amarre no es cuasipermanente en un muelle pesquero); con 0.5 fisurarían seis pilotes (wk hasta 0.153 mm &gt; 0.1) y ninguna armadura dentro de As,max lo resuelve -&gt; documentado como hipótesis.</t>
        </is>
      </c>
    </row>
    <row r="42" ht="42" customHeight="1">
      <c r="A42" s="18" t="inlineStr">
        <is>
          <t>F3</t>
        </is>
      </c>
      <c r="B42" s="19" t="inlineStr">
        <is>
          <t>Vigas transversales interiores (ejes 2-6, T invertida)</t>
        </is>
      </c>
      <c r="C42" s="19" t="inlineStr">
        <is>
          <t>ELU flexión (máx 0.88), cortante incl. armadura de suspensión de las alas (máx 0.72 con cot θ óptimo), disposiciones y flecha cumplen. La fisuración NO cumple con ψ2 0.8 de la ROM (M_qp 137-152 kN·m &gt; Mcr 125 kN·m; wk 0.155-0.172 mm &gt; 0.1 mm; el 7Ø20 inferior dispuesto sólo cumple para ψ2,Qa ≤ 0.58-0.70). FINAL: armadura inferior 8Ø20 en el alma + 4Ø16 en las alas (33.18 cm², wk 0.096 mm) en lugar de 5Ø20 + 2Ø20 (21.99 cm²); superior 5Ø20 y estribos (1 cerco Ø10 + 1 rama Ø10 + cerco de alas, 3 ramas Ø10 c/100) sin cambio. Con ψ2 0.3 de CYPE el armado dispuesto cumple (como obtuvo CYPE).</t>
        </is>
      </c>
    </row>
    <row r="43" ht="42" customHeight="1">
      <c r="A43" s="18" t="inlineStr">
        <is>
          <t>F4</t>
        </is>
      </c>
      <c r="B43" s="19" t="inlineStr">
        <is>
          <t>Vigas extremas (ejes 1 y 7, L invertida 80x55+15x30)</t>
        </is>
      </c>
      <c r="C43" s="19" t="inlineStr">
        <is>
          <t>CUMPLE con el armado dispuesto (determinante: cordón traccionado por torsión 0.973, flexión 0.873). Sensibilidad: si las alveoplacas apoyan en la única ala a ~0.42 m del eje del pilote (no modelado ni en SAP ni en CYPE: 'la alveoplaca apoya en el eje de los pilotes'), la torsión de equilibrio ~56-61 kN·m en las caras de los pilotes lleva el cordón a 1.18 -&gt; verificar el detalle de apoyo; si se confirma, superior 4Ø25 en lugar de 5Ø20.</t>
        </is>
      </c>
    </row>
    <row r="44" ht="42" customHeight="1">
      <c r="A44" s="18" t="inlineStr">
        <is>
          <t>F5</t>
        </is>
      </c>
      <c r="B44" s="19" t="inlineStr">
        <is>
          <t>Vigas de borde 25x30 (2Ø16 sup./inf., Ø8/150)</t>
        </is>
      </c>
      <c r="C44" s="19" t="inlineStr">
        <is>
          <t>En nuestro modelo SAP comparten la carga del forjado con la lámina ortótropa (V ~2x y M +13-21 % frente a CYPE) -&gt; la fisuración no cumple (wk 0.31 mm en apoyos, momento negativo) y el cortante con θ = 45° es 1.04-1.08 (cumple con cot θ óptimo). FINAL (condicionado al reparto de SAP): superior 3Ø25 sobre los apoyos (wk 0.067 mm); alternativa: viga de borde más canto; si sólo aplica la carga por bandas de CYPE, las barras dispuestas bastan en ELU.</t>
        </is>
      </c>
    </row>
    <row r="45" ht="42" customHeight="1">
      <c r="A45" s="18" t="inlineStr">
        <is>
          <t>F6</t>
        </is>
      </c>
      <c r="B45" s="19" t="inlineStr">
        <is>
          <t>Decalaje / shift rule (información)</t>
        </is>
      </c>
      <c r="C45" s="19" t="inlineStr">
        <is>
          <t>Con cot θ = 2, la regla de decalaje (A19.6.2.3(7)/9.2.1.3) en la cara mar del pilote limitada al momento del nudo (eje del pilote) elevaría el cordón superior a 1.03-1.18; recomendación: no cortar las barras superiores dentro de al = z·cot θ/2 ≈ 0.43 m de las caras de los pilotes y anclarlas por completo sobre los pilotes; con cot θ = 1 (CYPE) el efecto es menor. No forma parte del veredicto.</t>
        </is>
      </c>
    </row>
    <row r="46" ht="28" customHeight="1">
      <c r="A46" s="18" t="inlineStr">
        <is>
          <t>F7</t>
        </is>
      </c>
      <c r="B46" s="19" t="inlineStr">
        <is>
          <t>Comprobación EC2 propia de SAP2000</t>
        </is>
      </c>
      <c r="C46" s="19" t="inlineStr">
        <is>
          <t>La ratio de los pilotes en SAP será ~0.71 (SAP usa M0e = 0.6M02 + 0.4M01 ≥ 0.4M02 y espera un análisis P-Delta): no comparable con nuestro 2º orden 0.93-0.99; rige nuestro veredicto. SAP no comprueba wk XS3, la convención ν1/fywd del CE, As,min española ni la armadura de suspensión de las alas.</t>
        </is>
      </c>
    </row>
    <row r="47" ht="42" customHeight="1">
      <c r="A47" s="18" t="inlineStr">
        <is>
          <t>F8</t>
        </is>
      </c>
      <c r="B47" s="19" t="inlineStr">
        <is>
          <t>Anejo 10: qué hizo CYPE bien / mal</t>
        </is>
      </c>
      <c r="C47" s="19" t="inlineStr">
        <is>
          <t>Resultados de CYPE reproducidos exactamente (capacidades 0.00 %); su veredicto de fisuración depende de ψ2 0.3 (valor de edificación); no comprobó la armadura de suspensión de las alas, el límite de tensión característica ni la torsión del ala de las vigas extremas; el 'Aprov.' del listado = 1.014 × η del rayo (sin explicar); error aritmético en el texto del Anejo 10: 410/4.65 = 88 kN (no 83).</t>
        </is>
      </c>
    </row>
    <row r="49">
      <c r="A49" s="3" t="inlineStr">
        <is>
          <t>3. Cuadro de armado final</t>
        </is>
      </c>
    </row>
    <row r="50" ht="32" customHeight="1">
      <c r="A50" s="4" t="inlineStr">
        <is>
          <t>Elemento</t>
        </is>
      </c>
      <c r="B50" s="4" t="inlineStr">
        <is>
          <t>Longitudinal superior</t>
        </is>
      </c>
      <c r="C50" s="4" t="inlineStr">
        <is>
          <t>Longitudinal inferior</t>
        </is>
      </c>
      <c r="D50" s="4" t="inlineStr">
        <is>
          <t>Lateral / piel</t>
        </is>
      </c>
      <c r="E50" s="4" t="inlineStr">
        <is>
          <t>Transversal</t>
        </is>
      </c>
      <c r="F50" s="4" t="inlineStr">
        <is>
          <t>Cambio frente al Anejo 10</t>
        </is>
      </c>
      <c r="G50" s="4" t="inlineStr">
        <is>
          <t>η determinante</t>
        </is>
      </c>
      <c r="H50" s="4" t="inlineStr">
        <is>
          <t>Comprobación determinante</t>
        </is>
      </c>
      <c r="I50" s="4" t="inlineStr">
        <is>
          <t>Veredicto</t>
        </is>
      </c>
    </row>
    <row r="51">
      <c r="A51" s="6" t="inlineStr">
        <is>
          <t>Pilotes P1-P18 (14 ud., 40x40 HA-50 prefabricados)</t>
        </is>
      </c>
      <c r="B51" s="6" t="inlineStr">
        <is>
          <t>12Ø25 (4 por cara, ρ = 3.68 %)</t>
        </is>
      </c>
      <c r="C51" s="6" t="inlineStr">
        <is>
          <t>-</t>
        </is>
      </c>
      <c r="D51" s="5" t="inlineStr">
        <is>
          <t>-</t>
        </is>
      </c>
      <c r="E51" s="6" t="inlineStr">
        <is>
          <t>3 cercos Ø10 (2eØ10+1eØ10) c/150 en el fuste; c/100 en los 0.40 m superiores; arranque 1eØ8</t>
        </is>
      </c>
      <c r="F51" s="6" t="inlineStr">
        <is>
          <t>cercos Ø10 c/150 -&gt; c/100 en 0.40 m superiores (confinamiento, +2.8 kg/pilote)</t>
        </is>
      </c>
      <c r="G51" s="11" t="n">
        <v>0.98746</v>
      </c>
      <c r="H51" s="6" t="inlineStr">
        <is>
          <t>N-M 2º orden, cabeza P3 (ELR08)</t>
        </is>
      </c>
      <c r="I51" s="10" t="inlineStr">
        <is>
          <t>CUMPLE (con cercos de confinamiento)</t>
        </is>
      </c>
    </row>
    <row r="52">
      <c r="A52" s="6" t="inlineStr">
        <is>
          <t>Vigas interiores ejes 2-6 (T invertida 50x55+15x30+15x30)</t>
        </is>
      </c>
      <c r="B52" s="6" t="inlineStr">
        <is>
          <t>5Ø20 (15.71 cm²)</t>
        </is>
      </c>
      <c r="C52" s="6" t="inlineStr">
        <is>
          <t>8Ø20 alma + 4Ø16 alas (33.18 cm²)</t>
        </is>
      </c>
      <c r="D52" s="5" t="inlineStr">
        <is>
          <t>2Ø10 + 2Ø10 a 235 mm (alas / piel)</t>
        </is>
      </c>
      <c r="E52" s="6" t="inlineStr">
        <is>
          <t>cerco Ø10 + rama Ø10 (3 ramas en el alma) + cerco de alas Ø10, c/100</t>
        </is>
      </c>
      <c r="F52" s="6" t="inlineStr">
        <is>
          <t>inferior 7Ø20 (21.99 cm²) -&gt; 8Ø20 alma + 4Ø16 alas (33.18 cm²); 32.1 -&gt; 40.8 kg/m long.</t>
        </is>
      </c>
      <c r="G52" s="11" t="n">
        <v>0.9618</v>
      </c>
      <c r="H52" s="6" t="inlineStr">
        <is>
          <t>fisuración ELS (VT2) (wk = 0.096 mm, ψ2 0.8)</t>
        </is>
      </c>
      <c r="I52" s="12" t="inlineStr">
        <is>
          <t>CUMPLE</t>
        </is>
      </c>
    </row>
    <row r="53">
      <c r="A53" s="6" t="inlineStr">
        <is>
          <t>Vigas extremas ejes 1 y 7 (L invertida 80x55+15x30)</t>
        </is>
      </c>
      <c r="B53" s="6" t="inlineStr">
        <is>
          <t>5Ø20 (15.71 cm²)</t>
        </is>
      </c>
      <c r="C53" s="6" t="inlineStr">
        <is>
          <t>5Ø20 alma + 1Ø20 ala (18.85 cm²)</t>
        </is>
      </c>
      <c r="D53" s="5" t="inlineStr">
        <is>
          <t>1Ø20 sup. ala + 2Ø10 a 235 mm</t>
        </is>
      </c>
      <c r="E53" s="6" t="inlineStr">
        <is>
          <t>cerco Ø10 + rama Ø10 (3 ramas) + cerco de ala Ø10, c/100</t>
        </is>
      </c>
      <c r="F53" s="6" t="inlineStr">
        <is>
          <t>ninguno (si las alveoplacas apoyan en el ala: superior 4Ø25 en lugar de 5Ø20, η 1.18 -&gt; 0.98)</t>
        </is>
      </c>
      <c r="G53" s="11" t="n">
        <v>0.9727</v>
      </c>
      <c r="H53" s="6" t="inlineStr">
        <is>
          <t>torsión (VT1): cordón traccionado M/MRd + ΣAsl,T/As</t>
        </is>
      </c>
      <c r="I53" s="12" t="inlineStr">
        <is>
          <t>CUMPLE</t>
        </is>
      </c>
    </row>
    <row r="54">
      <c r="A54" s="6" t="inlineStr">
        <is>
          <t>Vigas de borde pórticos 1 y 10 (25x30)</t>
        </is>
      </c>
      <c r="B54" s="6" t="inlineStr">
        <is>
          <t>3Ø25 sobre apoyos (14.73 cm²)</t>
        </is>
      </c>
      <c r="C54" s="6" t="inlineStr">
        <is>
          <t>2Ø16 (4.02 cm²)</t>
        </is>
      </c>
      <c r="D54" s="5" t="inlineStr">
        <is>
          <t>-</t>
        </is>
      </c>
      <c r="E54" s="6" t="inlineStr">
        <is>
          <t>cerco Ø8/150</t>
        </is>
      </c>
      <c r="F54" s="6" t="inlineStr">
        <is>
          <t>superior 2Ø16 -&gt; 3Ø25 sobre apoyos (condicionado al reparto de carga de SAP, wk 0.067 mm)</t>
        </is>
      </c>
      <c r="G54" s="7" t="n">
        <v>0.8715000000000001</v>
      </c>
      <c r="H54" s="6" t="inlineStr">
        <is>
          <t>disposiciones (VBM)</t>
        </is>
      </c>
      <c r="I54" s="10" t="inlineStr">
        <is>
          <t>CUMPLE (condicionado, F5)</t>
        </is>
      </c>
    </row>
  </sheetData>
  <mergeCells count="10">
    <mergeCell ref="C39:M39"/>
    <mergeCell ref="C43:M43"/>
    <mergeCell ref="C38:M38"/>
    <mergeCell ref="C46:M46"/>
    <mergeCell ref="C41:M41"/>
    <mergeCell ref="C42:M42"/>
    <mergeCell ref="C47:M47"/>
    <mergeCell ref="C44:M44"/>
    <mergeCell ref="C40:M40"/>
    <mergeCell ref="C45:M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4.6" customWidth="1" min="2" max="2"/>
    <col width="16.4" customWidth="1" min="3" max="3"/>
    <col width="15.5" customWidth="1" min="4" max="4"/>
    <col width="16.4" customWidth="1" min="5" max="5"/>
    <col width="20.9" customWidth="1" min="6" max="6"/>
    <col width="12.8" customWidth="1" min="7" max="7"/>
    <col width="10.1" customWidth="1" min="8" max="8"/>
    <col width="10" customWidth="1" min="9" max="9"/>
    <col width="15.5" customWidth="1" min="10" max="10"/>
    <col width="10" customWidth="1" min="11" max="11"/>
    <col width="10" customWidth="1" min="12" max="12"/>
    <col width="10" customWidth="1" min="13" max="13"/>
    <col width="10" customWidth="1" min="14" max="14"/>
    <col width="11" customWidth="1" min="15" max="15"/>
    <col width="12.8" customWidth="1" min="16" max="16"/>
    <col width="18.2" customWidth="1" min="17" max="17"/>
    <col width="11" customWidth="1" min="18" max="18"/>
    <col width="15.5" customWidth="1" min="19" max="19"/>
    <col width="13.7" customWidth="1" min="20" max="20"/>
  </cols>
  <sheetData>
    <row r="1">
      <c r="A1" s="1" t="inlineStr">
        <is>
          <t>Pilotes: ELU N-Mx-My (1er y 2º orden, A19.5.8.8 / A19.6.1) y cortante (A19.6.2) — base ROM, Mode.CODIGO</t>
        </is>
      </c>
    </row>
    <row r="2">
      <c r="A2" s="2" t="inlineStr">
        <is>
          <t>η N-M: 'mismas excentricidades' (rayo); cortante: veredicto = VRd,c o cercos (cot θ óptimo) y VRd,max; 'Aprov.' CYPE = listado del Anejo 10 (SAP forces: ours).</t>
        </is>
      </c>
    </row>
    <row r="4" ht="32" customHeight="1">
      <c r="A4" s="4" t="inlineStr">
        <is>
          <t>Pilote</t>
        </is>
      </c>
      <c r="B4" s="4" t="inlineStr">
        <is>
          <t>Lado</t>
        </is>
      </c>
      <c r="C4" s="4" t="inlineStr">
        <is>
          <t>Sección</t>
        </is>
      </c>
      <c r="D4" s="4" t="inlineStr">
        <is>
          <t>Combo 1er</t>
        </is>
      </c>
      <c r="E4" s="4" t="inlineStr">
        <is>
          <t>N (kN)</t>
        </is>
      </c>
      <c r="F4" s="4" t="inlineStr">
        <is>
          <t>MEd,x 1er (kN·m)</t>
        </is>
      </c>
      <c r="G4" s="4" t="inlineStr">
        <is>
          <t>MEd,y 1er</t>
        </is>
      </c>
      <c r="H4" s="4" t="inlineStr">
        <is>
          <t>η N-M 1er</t>
        </is>
      </c>
      <c r="I4" s="4" t="inlineStr">
        <is>
          <t>Combo 2º</t>
        </is>
      </c>
      <c r="J4" s="4" t="inlineStr">
        <is>
          <t>MEd,x 2º (kN·m)</t>
        </is>
      </c>
      <c r="K4" s="4" t="inlineStr">
        <is>
          <t>MEd,y 2º</t>
        </is>
      </c>
      <c r="L4" s="4" t="inlineStr">
        <is>
          <t>η N-M 2º</t>
        </is>
      </c>
      <c r="M4" s="4" t="inlineStr">
        <is>
          <t>Combo V</t>
        </is>
      </c>
      <c r="N4" s="4" t="inlineStr">
        <is>
          <t>VEd (kN)</t>
        </is>
      </c>
      <c r="O4" s="4" t="inlineStr">
        <is>
          <t>VRd,c (kN)</t>
        </is>
      </c>
      <c r="P4" s="4" t="inlineStr">
        <is>
          <t>VRd,max (kN)</t>
        </is>
      </c>
      <c r="Q4" s="4" t="inlineStr">
        <is>
          <t>VRd veredicto (kN)</t>
        </is>
      </c>
      <c r="R4" s="4" t="inlineStr">
        <is>
          <t>η cortante</t>
        </is>
      </c>
      <c r="S4" s="4" t="inlineStr">
        <is>
          <t>CYPE Aprov. N,M</t>
        </is>
      </c>
      <c r="T4" s="4" t="inlineStr">
        <is>
          <t>CYPE Aprov. Q</t>
        </is>
      </c>
    </row>
    <row r="5">
      <c r="A5" s="5" t="inlineStr">
        <is>
          <t>P1</t>
        </is>
      </c>
      <c r="B5" s="5" t="inlineStr">
        <is>
          <t>mar</t>
        </is>
      </c>
      <c r="C5" s="5" t="inlineStr">
        <is>
          <t>Cabeza</t>
        </is>
      </c>
      <c r="D5" s="5" t="inlineStr">
        <is>
          <t>ELR08</t>
        </is>
      </c>
      <c r="E5" s="20" t="n">
        <v>470.44</v>
      </c>
      <c r="F5" s="20" t="n">
        <v>271.2</v>
      </c>
      <c r="G5" s="20" t="n">
        <v>63.16</v>
      </c>
      <c r="H5" s="7" t="n">
        <v>0.7188600000000001</v>
      </c>
      <c r="I5" s="5" t="inlineStr">
        <is>
          <t>ELR08</t>
        </is>
      </c>
      <c r="J5" s="20" t="n">
        <v>323.52</v>
      </c>
      <c r="K5" s="20" t="n">
        <v>109.4</v>
      </c>
      <c r="L5" s="7" t="n">
        <v>0.91918</v>
      </c>
      <c r="M5" s="5" t="inlineStr">
        <is>
          <t>ELR08</t>
        </is>
      </c>
      <c r="N5" s="20" t="n">
        <v>82.983</v>
      </c>
      <c r="O5" s="20" t="n">
        <v>137.95</v>
      </c>
      <c r="P5" s="20" t="n">
        <v>949.5</v>
      </c>
      <c r="Q5" s="20" t="n">
        <v>397.73</v>
      </c>
      <c r="R5" s="7" t="n">
        <v>0.20864</v>
      </c>
      <c r="S5" s="21" t="n">
        <v>0.841</v>
      </c>
      <c r="T5" s="21" t="n">
        <v>0.573</v>
      </c>
    </row>
    <row r="6">
      <c r="A6" s="5" t="inlineStr">
        <is>
          <t>P1</t>
        </is>
      </c>
      <c r="B6" s="5" t="inlineStr">
        <is>
          <t>mar</t>
        </is>
      </c>
      <c r="C6" s="5" t="inlineStr">
        <is>
          <t>Pie</t>
        </is>
      </c>
      <c r="D6" s="5" t="inlineStr">
        <is>
          <t>ELR05</t>
        </is>
      </c>
      <c r="E6" s="20" t="n">
        <v>307.59</v>
      </c>
      <c r="F6" s="20" t="n">
        <v>-269.14</v>
      </c>
      <c r="G6" s="20" t="n">
        <v>-6.188</v>
      </c>
      <c r="H6" s="7" t="n">
        <v>0.6962</v>
      </c>
      <c r="I6" s="5" t="inlineStr">
        <is>
          <t>ELR08</t>
        </is>
      </c>
      <c r="J6" s="20" t="n">
        <v>-332.16</v>
      </c>
      <c r="K6" s="20" t="n">
        <v>-83.721</v>
      </c>
      <c r="L6" s="7" t="n">
        <v>0.90345</v>
      </c>
      <c r="M6" s="5" t="inlineStr">
        <is>
          <t>ELR08</t>
        </is>
      </c>
      <c r="N6" s="20" t="n">
        <v>82.983</v>
      </c>
      <c r="O6" s="20" t="n">
        <v>140.36</v>
      </c>
      <c r="P6" s="20" t="n">
        <v>949.5</v>
      </c>
      <c r="Q6" s="20" t="n">
        <v>397.73</v>
      </c>
      <c r="R6" s="7" t="n">
        <v>0.20864</v>
      </c>
      <c r="S6" s="21" t="n">
        <v>0.857</v>
      </c>
      <c r="T6" s="21" t="n">
        <v>0.5620000000000001</v>
      </c>
    </row>
    <row r="7">
      <c r="A7" s="5" t="inlineStr">
        <is>
          <t>P1</t>
        </is>
      </c>
      <c r="B7" s="5" t="inlineStr">
        <is>
          <t>mar</t>
        </is>
      </c>
      <c r="C7" s="5" t="inlineStr">
        <is>
          <t>Arranque</t>
        </is>
      </c>
      <c r="D7" s="5" t="inlineStr">
        <is>
          <t>ELR05</t>
        </is>
      </c>
      <c r="E7" s="20" t="n">
        <v>307.59</v>
      </c>
      <c r="F7" s="20" t="n">
        <v>-269.14</v>
      </c>
      <c r="G7" s="20" t="n">
        <v>-6.188</v>
      </c>
      <c r="H7" s="7" t="n">
        <v>0.68913</v>
      </c>
      <c r="I7" s="5" t="inlineStr">
        <is>
          <t>ELR08</t>
        </is>
      </c>
      <c r="J7" s="20" t="n">
        <v>-331.89</v>
      </c>
      <c r="K7" s="20" t="n">
        <v>-83.452</v>
      </c>
      <c r="L7" s="7" t="n">
        <v>0.8928700000000001</v>
      </c>
      <c r="M7" s="5" t="inlineStr">
        <is>
          <t>ELR05</t>
        </is>
      </c>
      <c r="N7" s="20" t="n">
        <v>78.84</v>
      </c>
      <c r="O7" s="20" t="n">
        <v>140.79</v>
      </c>
      <c r="P7" s="20" t="n">
        <v>953.1</v>
      </c>
      <c r="Q7" s="20" t="n">
        <v>140.79</v>
      </c>
      <c r="R7" s="7" t="n">
        <v>0.55999</v>
      </c>
      <c r="S7" s="21" t="n">
        <v>0.847</v>
      </c>
      <c r="T7" s="21" t="n">
        <v>0.081</v>
      </c>
    </row>
    <row r="8">
      <c r="A8" s="5" t="inlineStr">
        <is>
          <t>P2</t>
        </is>
      </c>
      <c r="B8" s="5" t="inlineStr">
        <is>
          <t>tierra</t>
        </is>
      </c>
      <c r="C8" s="5" t="inlineStr">
        <is>
          <t>Cabeza</t>
        </is>
      </c>
      <c r="D8" s="5" t="inlineStr">
        <is>
          <t>ELR05</t>
        </is>
      </c>
      <c r="E8" s="20" t="n">
        <v>-155.98</v>
      </c>
      <c r="F8" s="20" t="n">
        <v>259.68</v>
      </c>
      <c r="G8" s="20" t="n">
        <v>14.367</v>
      </c>
      <c r="H8" s="7" t="n">
        <v>0.79616</v>
      </c>
      <c r="I8" s="5" t="inlineStr">
        <is>
          <t>ELR08</t>
        </is>
      </c>
      <c r="J8" s="20" t="n">
        <v>247.71</v>
      </c>
      <c r="K8" s="20" t="n">
        <v>65.047</v>
      </c>
      <c r="L8" s="7" t="n">
        <v>0.75809</v>
      </c>
      <c r="M8" s="5" t="inlineStr">
        <is>
          <t>ELR05</t>
        </is>
      </c>
      <c r="N8" s="20" t="n">
        <v>79.077</v>
      </c>
      <c r="O8" s="20" t="n">
        <v>94.505</v>
      </c>
      <c r="P8" s="20" t="n">
        <v>949.5</v>
      </c>
      <c r="Q8" s="20" t="n">
        <v>397.73</v>
      </c>
      <c r="R8" s="7" t="n">
        <v>0.19882</v>
      </c>
      <c r="S8" s="21" t="n">
        <v>0.8090000000000001</v>
      </c>
      <c r="T8" s="21" t="n">
        <v>0.843</v>
      </c>
    </row>
    <row r="9">
      <c r="A9" s="5" t="inlineStr">
        <is>
          <t>P2</t>
        </is>
      </c>
      <c r="B9" s="5" t="inlineStr">
        <is>
          <t>tierra</t>
        </is>
      </c>
      <c r="C9" s="5" t="inlineStr">
        <is>
          <t>Pie</t>
        </is>
      </c>
      <c r="D9" s="5" t="inlineStr">
        <is>
          <t>ELR05</t>
        </is>
      </c>
      <c r="E9" s="20" t="n">
        <v>-131.69</v>
      </c>
      <c r="F9" s="20" t="n">
        <v>-269.64</v>
      </c>
      <c r="G9" s="20" t="n">
        <v>-8.492000000000001</v>
      </c>
      <c r="H9" s="7" t="n">
        <v>0.8146600000000001</v>
      </c>
      <c r="I9" s="5" t="inlineStr">
        <is>
          <t>ELR07</t>
        </is>
      </c>
      <c r="J9" s="20" t="n">
        <v>-264.12</v>
      </c>
      <c r="K9" s="20" t="n">
        <v>-33.861</v>
      </c>
      <c r="L9" s="7" t="n">
        <v>0.77359</v>
      </c>
      <c r="M9" s="5" t="inlineStr">
        <is>
          <t>ELR05</t>
        </is>
      </c>
      <c r="N9" s="20" t="n">
        <v>79.077</v>
      </c>
      <c r="O9" s="20" t="n">
        <v>96.908</v>
      </c>
      <c r="P9" s="20" t="n">
        <v>949.5</v>
      </c>
      <c r="Q9" s="20" t="n">
        <v>397.73</v>
      </c>
      <c r="R9" s="7" t="n">
        <v>0.19882</v>
      </c>
      <c r="S9" s="21" t="n">
        <v>0.825</v>
      </c>
      <c r="T9" s="21" t="n">
        <v>0.82</v>
      </c>
    </row>
    <row r="10">
      <c r="A10" s="5" t="inlineStr">
        <is>
          <t>P2</t>
        </is>
      </c>
      <c r="B10" s="5" t="inlineStr">
        <is>
          <t>tierra</t>
        </is>
      </c>
      <c r="C10" s="5" t="inlineStr">
        <is>
          <t>Arranque</t>
        </is>
      </c>
      <c r="D10" s="5" t="inlineStr">
        <is>
          <t>ELR05</t>
        </is>
      </c>
      <c r="E10" s="20" t="n">
        <v>-131.69</v>
      </c>
      <c r="F10" s="20" t="n">
        <v>-269.64</v>
      </c>
      <c r="G10" s="20" t="n">
        <v>-8.492000000000001</v>
      </c>
      <c r="H10" s="7" t="n">
        <v>0.80751</v>
      </c>
      <c r="I10" s="5" t="inlineStr">
        <is>
          <t>ELR07</t>
        </is>
      </c>
      <c r="J10" s="20" t="n">
        <v>-264.12</v>
      </c>
      <c r="K10" s="20" t="n">
        <v>-33.861</v>
      </c>
      <c r="L10" s="7" t="n">
        <v>0.76662</v>
      </c>
      <c r="M10" s="5" t="inlineStr">
        <is>
          <t>ELR05</t>
        </is>
      </c>
      <c r="N10" s="20" t="n">
        <v>79.077</v>
      </c>
      <c r="O10" s="20" t="n">
        <v>97.179</v>
      </c>
      <c r="P10" s="20" t="n">
        <v>953.1</v>
      </c>
      <c r="Q10" s="20" t="n">
        <v>97.179</v>
      </c>
      <c r="R10" s="7" t="n">
        <v>0.81373</v>
      </c>
      <c r="S10" s="21" t="n">
        <v>0.819</v>
      </c>
      <c r="T10" s="21" t="n">
        <v>0.079</v>
      </c>
    </row>
    <row r="11">
      <c r="A11" s="5" t="inlineStr">
        <is>
          <t>P3</t>
        </is>
      </c>
      <c r="B11" s="5" t="inlineStr">
        <is>
          <t>mar</t>
        </is>
      </c>
      <c r="C11" s="5" t="inlineStr">
        <is>
          <t>Cabeza</t>
        </is>
      </c>
      <c r="D11" s="5" t="inlineStr">
        <is>
          <t>ELR08</t>
        </is>
      </c>
      <c r="E11" s="20" t="n">
        <v>736.0599999999999</v>
      </c>
      <c r="F11" s="20" t="n">
        <v>295.26</v>
      </c>
      <c r="G11" s="20" t="n">
        <v>-19.549</v>
      </c>
      <c r="H11" s="7" t="n">
        <v>0.69475</v>
      </c>
      <c r="I11" s="5" t="inlineStr">
        <is>
          <t>ELR08</t>
        </is>
      </c>
      <c r="J11" s="20" t="n">
        <v>377.13</v>
      </c>
      <c r="K11" s="20" t="n">
        <v>-91.893</v>
      </c>
      <c r="L11" s="11" t="n">
        <v>0.98746</v>
      </c>
      <c r="M11" s="5" t="inlineStr">
        <is>
          <t>ELR08</t>
        </is>
      </c>
      <c r="N11" s="20" t="n">
        <v>87.07599999999999</v>
      </c>
      <c r="O11" s="20" t="n">
        <v>143.24</v>
      </c>
      <c r="P11" s="20" t="n">
        <v>949.5</v>
      </c>
      <c r="Q11" s="20" t="n">
        <v>397.73</v>
      </c>
      <c r="R11" s="7" t="n">
        <v>0.21893</v>
      </c>
      <c r="S11" s="21" t="n">
        <v>0.925</v>
      </c>
      <c r="T11" s="21" t="n">
        <v>0.552</v>
      </c>
    </row>
    <row r="12">
      <c r="A12" s="5" t="inlineStr">
        <is>
          <t>P3</t>
        </is>
      </c>
      <c r="B12" s="5" t="inlineStr">
        <is>
          <t>mar</t>
        </is>
      </c>
      <c r="C12" s="5" t="inlineStr">
        <is>
          <t>Pie</t>
        </is>
      </c>
      <c r="D12" s="5" t="inlineStr">
        <is>
          <t>ELR05</t>
        </is>
      </c>
      <c r="E12" s="20" t="n">
        <v>361.02</v>
      </c>
      <c r="F12" s="20" t="n">
        <v>-267.45</v>
      </c>
      <c r="G12" s="20" t="n">
        <v>7.22</v>
      </c>
      <c r="H12" s="7" t="n">
        <v>0.67847</v>
      </c>
      <c r="I12" s="5" t="inlineStr">
        <is>
          <t>ELR08</t>
        </is>
      </c>
      <c r="J12" s="20" t="n">
        <v>-372.84</v>
      </c>
      <c r="K12" s="20" t="n">
        <v>86.90300000000001</v>
      </c>
      <c r="L12" s="11" t="n">
        <v>0.96532</v>
      </c>
      <c r="M12" s="5" t="inlineStr">
        <is>
          <t>ELR08</t>
        </is>
      </c>
      <c r="N12" s="20" t="n">
        <v>87.07599999999999</v>
      </c>
      <c r="O12" s="20" t="n">
        <v>145.64</v>
      </c>
      <c r="P12" s="20" t="n">
        <v>949.5</v>
      </c>
      <c r="Q12" s="20" t="n">
        <v>397.73</v>
      </c>
      <c r="R12" s="7" t="n">
        <v>0.21893</v>
      </c>
      <c r="S12" s="21" t="n">
        <v>0.919</v>
      </c>
      <c r="T12" s="21" t="n">
        <v>0.542</v>
      </c>
    </row>
    <row r="13">
      <c r="A13" s="5" t="inlineStr">
        <is>
          <t>P3</t>
        </is>
      </c>
      <c r="B13" s="5" t="inlineStr">
        <is>
          <t>mar</t>
        </is>
      </c>
      <c r="C13" s="5" t="inlineStr">
        <is>
          <t>Arranque</t>
        </is>
      </c>
      <c r="D13" s="5" t="inlineStr">
        <is>
          <t>ELR05</t>
        </is>
      </c>
      <c r="E13" s="20" t="n">
        <v>361.02</v>
      </c>
      <c r="F13" s="20" t="n">
        <v>-267.45</v>
      </c>
      <c r="G13" s="20" t="n">
        <v>7.22</v>
      </c>
      <c r="H13" s="7" t="n">
        <v>0.67145</v>
      </c>
      <c r="I13" s="5" t="inlineStr">
        <is>
          <t>ELR08</t>
        </is>
      </c>
      <c r="J13" s="20" t="n">
        <v>-372.43</v>
      </c>
      <c r="K13" s="20" t="n">
        <v>86.492</v>
      </c>
      <c r="L13" s="11" t="n">
        <v>0.95223</v>
      </c>
      <c r="M13" s="5" t="inlineStr">
        <is>
          <t>ELR05</t>
        </is>
      </c>
      <c r="N13" s="20" t="n">
        <v>78.669</v>
      </c>
      <c r="O13" s="20" t="n">
        <v>146.1</v>
      </c>
      <c r="P13" s="20" t="n">
        <v>953.1</v>
      </c>
      <c r="Q13" s="20" t="n">
        <v>146.1</v>
      </c>
      <c r="R13" s="7" t="n">
        <v>0.53848</v>
      </c>
      <c r="S13" s="21" t="n">
        <v>0.907</v>
      </c>
      <c r="T13" s="21" t="n">
        <v>0.08500000000000001</v>
      </c>
    </row>
    <row r="14">
      <c r="A14" s="5" t="inlineStr">
        <is>
          <t>P4</t>
        </is>
      </c>
      <c r="B14" s="5" t="inlineStr">
        <is>
          <t>tierra</t>
        </is>
      </c>
      <c r="C14" s="5" t="inlineStr">
        <is>
          <t>Cabeza</t>
        </is>
      </c>
      <c r="D14" s="5" t="inlineStr">
        <is>
          <t>ELR05</t>
        </is>
      </c>
      <c r="E14" s="20" t="n">
        <v>-114.51</v>
      </c>
      <c r="F14" s="20" t="n">
        <v>241.08</v>
      </c>
      <c r="G14" s="20" t="n">
        <v>-2.513</v>
      </c>
      <c r="H14" s="7" t="n">
        <v>0.7246</v>
      </c>
      <c r="I14" s="5" t="inlineStr">
        <is>
          <t>ELR07</t>
        </is>
      </c>
      <c r="J14" s="20" t="n">
        <v>210.94</v>
      </c>
      <c r="K14" s="20" t="n">
        <v>-15.58</v>
      </c>
      <c r="L14" s="7" t="n">
        <v>0.55806</v>
      </c>
      <c r="M14" s="5" t="inlineStr">
        <is>
          <t>ELR05</t>
        </is>
      </c>
      <c r="N14" s="20" t="n">
        <v>74.379</v>
      </c>
      <c r="O14" s="20" t="n">
        <v>98.607</v>
      </c>
      <c r="P14" s="20" t="n">
        <v>949.5</v>
      </c>
      <c r="Q14" s="20" t="n">
        <v>397.73</v>
      </c>
      <c r="R14" s="7" t="n">
        <v>0.18701</v>
      </c>
      <c r="S14" s="21" t="n">
        <v>0.732</v>
      </c>
      <c r="T14" s="21" t="n">
        <v>0.754</v>
      </c>
    </row>
    <row r="15">
      <c r="A15" s="5" t="inlineStr">
        <is>
          <t>P4</t>
        </is>
      </c>
      <c r="B15" s="5" t="inlineStr">
        <is>
          <t>tierra</t>
        </is>
      </c>
      <c r="C15" s="5" t="inlineStr">
        <is>
          <t>Pie</t>
        </is>
      </c>
      <c r="D15" s="5" t="inlineStr">
        <is>
          <t>ELR05</t>
        </is>
      </c>
      <c r="E15" s="20" t="n">
        <v>-90.215</v>
      </c>
      <c r="F15" s="20" t="n">
        <v>-257.25</v>
      </c>
      <c r="G15" s="20" t="n">
        <v>0.8142</v>
      </c>
      <c r="H15" s="7" t="n">
        <v>0.7635999999999999</v>
      </c>
      <c r="I15" s="5" t="inlineStr">
        <is>
          <t>ELR07</t>
        </is>
      </c>
      <c r="J15" s="20" t="n">
        <v>-242.37</v>
      </c>
      <c r="K15" s="20" t="n">
        <v>8.016999999999999</v>
      </c>
      <c r="L15" s="7" t="n">
        <v>0.63796</v>
      </c>
      <c r="M15" s="5" t="inlineStr">
        <is>
          <t>ELR05</t>
        </is>
      </c>
      <c r="N15" s="20" t="n">
        <v>74.379</v>
      </c>
      <c r="O15" s="20" t="n">
        <v>101.01</v>
      </c>
      <c r="P15" s="20" t="n">
        <v>949.5</v>
      </c>
      <c r="Q15" s="20" t="n">
        <v>397.73</v>
      </c>
      <c r="R15" s="7" t="n">
        <v>0.18701</v>
      </c>
      <c r="S15" s="21" t="n">
        <v>0.771</v>
      </c>
      <c r="T15" s="21" t="n">
        <v>0.735</v>
      </c>
    </row>
    <row r="16">
      <c r="A16" s="5" t="inlineStr">
        <is>
          <t>P4</t>
        </is>
      </c>
      <c r="B16" s="5" t="inlineStr">
        <is>
          <t>tierra</t>
        </is>
      </c>
      <c r="C16" s="5" t="inlineStr">
        <is>
          <t>Arranque</t>
        </is>
      </c>
      <c r="D16" s="5" t="inlineStr">
        <is>
          <t>ELR05</t>
        </is>
      </c>
      <c r="E16" s="20" t="n">
        <v>-90.215</v>
      </c>
      <c r="F16" s="20" t="n">
        <v>-257.25</v>
      </c>
      <c r="G16" s="20" t="n">
        <v>0.8142</v>
      </c>
      <c r="H16" s="7" t="n">
        <v>0.75675</v>
      </c>
      <c r="I16" s="5" t="inlineStr">
        <is>
          <t>ELR07</t>
        </is>
      </c>
      <c r="J16" s="20" t="n">
        <v>-242.37</v>
      </c>
      <c r="K16" s="20" t="n">
        <v>8.016999999999999</v>
      </c>
      <c r="L16" s="7" t="n">
        <v>0.63159</v>
      </c>
      <c r="M16" s="5" t="inlineStr">
        <is>
          <t>ELR05</t>
        </is>
      </c>
      <c r="N16" s="20" t="n">
        <v>74.379</v>
      </c>
      <c r="O16" s="20" t="n">
        <v>101.3</v>
      </c>
      <c r="P16" s="20" t="n">
        <v>953.1</v>
      </c>
      <c r="Q16" s="20" t="n">
        <v>101.3</v>
      </c>
      <c r="R16" s="7" t="n">
        <v>0.73427</v>
      </c>
      <c r="S16" s="21" t="n">
        <v>0.764</v>
      </c>
      <c r="T16" s="21" t="n">
        <v>0.074</v>
      </c>
    </row>
    <row r="17">
      <c r="A17" s="5" t="inlineStr">
        <is>
          <t>P5</t>
        </is>
      </c>
      <c r="B17" s="5" t="inlineStr">
        <is>
          <t>mar</t>
        </is>
      </c>
      <c r="C17" s="5" t="inlineStr">
        <is>
          <t>Cabeza</t>
        </is>
      </c>
      <c r="D17" s="5" t="inlineStr">
        <is>
          <t>ELR08</t>
        </is>
      </c>
      <c r="E17" s="20" t="n">
        <v>697.7</v>
      </c>
      <c r="F17" s="20" t="n">
        <v>278.91</v>
      </c>
      <c r="G17" s="20" t="n">
        <v>13.954</v>
      </c>
      <c r="H17" s="7" t="n">
        <v>0.65163</v>
      </c>
      <c r="I17" s="5" t="inlineStr">
        <is>
          <t>ELR08</t>
        </is>
      </c>
      <c r="J17" s="20" t="n">
        <v>356.52</v>
      </c>
      <c r="K17" s="20" t="n">
        <v>71.072</v>
      </c>
      <c r="L17" s="7" t="n">
        <v>0.91514</v>
      </c>
      <c r="M17" s="5" t="inlineStr">
        <is>
          <t>ELR08</t>
        </is>
      </c>
      <c r="N17" s="20" t="n">
        <v>82.852</v>
      </c>
      <c r="O17" s="20" t="n">
        <v>143.46</v>
      </c>
      <c r="P17" s="20" t="n">
        <v>949.5</v>
      </c>
      <c r="Q17" s="20" t="n">
        <v>397.73</v>
      </c>
      <c r="R17" s="7" t="n">
        <v>0.20831</v>
      </c>
      <c r="S17" s="21" t="n">
        <v>0.87</v>
      </c>
      <c r="T17" s="21" t="n">
        <v>0.526</v>
      </c>
    </row>
    <row r="18">
      <c r="A18" s="5" t="inlineStr">
        <is>
          <t>P5</t>
        </is>
      </c>
      <c r="B18" s="5" t="inlineStr">
        <is>
          <t>mar</t>
        </is>
      </c>
      <c r="C18" s="5" t="inlineStr">
        <is>
          <t>Pie</t>
        </is>
      </c>
      <c r="D18" s="5" t="inlineStr">
        <is>
          <t>ELR05</t>
        </is>
      </c>
      <c r="E18" s="20" t="n">
        <v>363.32</v>
      </c>
      <c r="F18" s="20" t="n">
        <v>-258.25</v>
      </c>
      <c r="G18" s="20" t="n">
        <v>7.266</v>
      </c>
      <c r="H18" s="7" t="n">
        <v>0.65165</v>
      </c>
      <c r="I18" s="5" t="inlineStr">
        <is>
          <t>ELR08</t>
        </is>
      </c>
      <c r="J18" s="20" t="n">
        <v>-357.44</v>
      </c>
      <c r="K18" s="20" t="n">
        <v>-72.617</v>
      </c>
      <c r="L18" s="7" t="n">
        <v>0.91369</v>
      </c>
      <c r="M18" s="5" t="inlineStr">
        <is>
          <t>ELR08</t>
        </is>
      </c>
      <c r="N18" s="20" t="n">
        <v>82.852</v>
      </c>
      <c r="O18" s="20" t="n">
        <v>145.87</v>
      </c>
      <c r="P18" s="20" t="n">
        <v>949.5</v>
      </c>
      <c r="Q18" s="20" t="n">
        <v>397.73</v>
      </c>
      <c r="R18" s="7" t="n">
        <v>0.20831</v>
      </c>
      <c r="S18" s="21" t="n">
        <v>0.88</v>
      </c>
      <c r="T18" s="21" t="n">
        <v>0.517</v>
      </c>
    </row>
    <row r="19">
      <c r="A19" s="5" t="inlineStr">
        <is>
          <t>P5</t>
        </is>
      </c>
      <c r="B19" s="5" t="inlineStr">
        <is>
          <t>mar</t>
        </is>
      </c>
      <c r="C19" s="5" t="inlineStr">
        <is>
          <t>Arranque</t>
        </is>
      </c>
      <c r="D19" s="5" t="inlineStr">
        <is>
          <t>ELR05</t>
        </is>
      </c>
      <c r="E19" s="20" t="n">
        <v>363.32</v>
      </c>
      <c r="F19" s="20" t="n">
        <v>-258.25</v>
      </c>
      <c r="G19" s="20" t="n">
        <v>7.266</v>
      </c>
      <c r="H19" s="7" t="n">
        <v>0.6448700000000001</v>
      </c>
      <c r="I19" s="5" t="inlineStr">
        <is>
          <t>ELR08</t>
        </is>
      </c>
      <c r="J19" s="20" t="n">
        <v>-357.05</v>
      </c>
      <c r="K19" s="20" t="n">
        <v>-72.227</v>
      </c>
      <c r="L19" s="7" t="n">
        <v>0.90133</v>
      </c>
      <c r="M19" s="5" t="inlineStr">
        <is>
          <t>ELR05</t>
        </is>
      </c>
      <c r="N19" s="20" t="n">
        <v>75.375</v>
      </c>
      <c r="O19" s="20" t="n">
        <v>146.32</v>
      </c>
      <c r="P19" s="20" t="n">
        <v>953.1</v>
      </c>
      <c r="Q19" s="20" t="n">
        <v>146.32</v>
      </c>
      <c r="R19" s="7" t="n">
        <v>0.51512</v>
      </c>
      <c r="S19" s="21" t="n">
        <v>0.869</v>
      </c>
      <c r="T19" s="21" t="n">
        <v>0.081</v>
      </c>
    </row>
    <row r="20">
      <c r="A20" s="5" t="inlineStr">
        <is>
          <t>P6</t>
        </is>
      </c>
      <c r="B20" s="5" t="inlineStr">
        <is>
          <t>tierra</t>
        </is>
      </c>
      <c r="C20" s="5" t="inlineStr">
        <is>
          <t>Cabeza</t>
        </is>
      </c>
      <c r="D20" s="5" t="inlineStr">
        <is>
          <t>ELR05</t>
        </is>
      </c>
      <c r="E20" s="20" t="n">
        <v>-134.13</v>
      </c>
      <c r="F20" s="20" t="n">
        <v>240.87</v>
      </c>
      <c r="G20" s="20" t="n">
        <v>1.762</v>
      </c>
      <c r="H20" s="7" t="n">
        <v>0.72886</v>
      </c>
      <c r="I20" s="5" t="inlineStr">
        <is>
          <t>ELR07</t>
        </is>
      </c>
      <c r="J20" s="20" t="n">
        <v>213.41</v>
      </c>
      <c r="K20" s="20" t="n">
        <v>4.283</v>
      </c>
      <c r="L20" s="7" t="n">
        <v>0.57301</v>
      </c>
      <c r="M20" s="5" t="inlineStr">
        <is>
          <t>ELR05</t>
        </is>
      </c>
      <c r="N20" s="20" t="n">
        <v>74.014</v>
      </c>
      <c r="O20" s="20" t="n">
        <v>96.666</v>
      </c>
      <c r="P20" s="20" t="n">
        <v>949.5</v>
      </c>
      <c r="Q20" s="20" t="n">
        <v>397.73</v>
      </c>
      <c r="R20" s="7" t="n">
        <v>0.18609</v>
      </c>
      <c r="S20" s="21" t="n">
        <v>0.739</v>
      </c>
      <c r="T20" s="21" t="n">
        <v>0.769</v>
      </c>
    </row>
    <row r="21">
      <c r="A21" s="5" t="inlineStr">
        <is>
          <t>P6</t>
        </is>
      </c>
      <c r="B21" s="5" t="inlineStr">
        <is>
          <t>tierra</t>
        </is>
      </c>
      <c r="C21" s="5" t="inlineStr">
        <is>
          <t>Pie</t>
        </is>
      </c>
      <c r="D21" s="5" t="inlineStr">
        <is>
          <t>ELR05</t>
        </is>
      </c>
      <c r="E21" s="20" t="n">
        <v>-109.84</v>
      </c>
      <c r="F21" s="20" t="n">
        <v>-255.01</v>
      </c>
      <c r="G21" s="20" t="n">
        <v>-1.543</v>
      </c>
      <c r="H21" s="7" t="n">
        <v>0.7628200000000001</v>
      </c>
      <c r="I21" s="5" t="inlineStr">
        <is>
          <t>ELR07</t>
        </is>
      </c>
      <c r="J21" s="20" t="n">
        <v>-241.3</v>
      </c>
      <c r="K21" s="20" t="n">
        <v>-2.933</v>
      </c>
      <c r="L21" s="7" t="n">
        <v>0.6461</v>
      </c>
      <c r="M21" s="5" t="inlineStr">
        <is>
          <t>ELR05</t>
        </is>
      </c>
      <c r="N21" s="20" t="n">
        <v>74.014</v>
      </c>
      <c r="O21" s="20" t="n">
        <v>99.069</v>
      </c>
      <c r="P21" s="20" t="n">
        <v>949.5</v>
      </c>
      <c r="Q21" s="20" t="n">
        <v>397.73</v>
      </c>
      <c r="R21" s="7" t="n">
        <v>0.18609</v>
      </c>
      <c r="S21" s="21" t="n">
        <v>0.772</v>
      </c>
      <c r="T21" s="21" t="n">
        <v>0.748</v>
      </c>
    </row>
    <row r="22">
      <c r="A22" s="5" t="inlineStr">
        <is>
          <t>P6</t>
        </is>
      </c>
      <c r="B22" s="5" t="inlineStr">
        <is>
          <t>tierra</t>
        </is>
      </c>
      <c r="C22" s="5" t="inlineStr">
        <is>
          <t>Arranque</t>
        </is>
      </c>
      <c r="D22" s="5" t="inlineStr">
        <is>
          <t>ELR05</t>
        </is>
      </c>
      <c r="E22" s="20" t="n">
        <v>-109.84</v>
      </c>
      <c r="F22" s="20" t="n">
        <v>-255.01</v>
      </c>
      <c r="G22" s="20" t="n">
        <v>-1.543</v>
      </c>
      <c r="H22" s="7" t="n">
        <v>0.75603</v>
      </c>
      <c r="I22" s="5" t="inlineStr">
        <is>
          <t>ELR07</t>
        </is>
      </c>
      <c r="J22" s="20" t="n">
        <v>-241.3</v>
      </c>
      <c r="K22" s="20" t="n">
        <v>-2.933</v>
      </c>
      <c r="L22" s="7" t="n">
        <v>0.63973</v>
      </c>
      <c r="M22" s="5" t="inlineStr">
        <is>
          <t>ELR05</t>
        </is>
      </c>
      <c r="N22" s="20" t="n">
        <v>74.014</v>
      </c>
      <c r="O22" s="20" t="n">
        <v>99.348</v>
      </c>
      <c r="P22" s="20" t="n">
        <v>953.1</v>
      </c>
      <c r="Q22" s="20" t="n">
        <v>99.348</v>
      </c>
      <c r="R22" s="7" t="n">
        <v>0.745</v>
      </c>
      <c r="S22" s="21" t="n">
        <v>0.765</v>
      </c>
      <c r="T22" s="21" t="n">
        <v>0.074</v>
      </c>
    </row>
    <row r="23">
      <c r="A23" s="5" t="inlineStr">
        <is>
          <t>P7</t>
        </is>
      </c>
      <c r="B23" s="5" t="inlineStr">
        <is>
          <t>mar</t>
        </is>
      </c>
      <c r="C23" s="5" t="inlineStr">
        <is>
          <t>Cabeza</t>
        </is>
      </c>
      <c r="D23" s="5" t="inlineStr">
        <is>
          <t>ELR08</t>
        </is>
      </c>
      <c r="E23" s="20" t="n">
        <v>691.4400000000001</v>
      </c>
      <c r="F23" s="20" t="n">
        <v>283.03</v>
      </c>
      <c r="G23" s="20" t="n">
        <v>-13.829</v>
      </c>
      <c r="H23" s="7" t="n">
        <v>0.66292</v>
      </c>
      <c r="I23" s="5" t="inlineStr">
        <is>
          <t>ELR08</t>
        </is>
      </c>
      <c r="J23" s="20" t="n">
        <v>359.94</v>
      </c>
      <c r="K23" s="20" t="n">
        <v>-69.01900000000001</v>
      </c>
      <c r="L23" s="7" t="n">
        <v>0.92353</v>
      </c>
      <c r="M23" s="5" t="inlineStr">
        <is>
          <t>ELR08</t>
        </is>
      </c>
      <c r="N23" s="20" t="n">
        <v>83.486</v>
      </c>
      <c r="O23" s="20" t="n">
        <v>141.88</v>
      </c>
      <c r="P23" s="20" t="n">
        <v>949.5</v>
      </c>
      <c r="Q23" s="20" t="n">
        <v>397.73</v>
      </c>
      <c r="R23" s="7" t="n">
        <v>0.20991</v>
      </c>
      <c r="S23" s="21" t="n">
        <v>0.882</v>
      </c>
      <c r="T23" s="21" t="n">
        <v>0.536</v>
      </c>
    </row>
    <row r="24">
      <c r="A24" s="5" t="inlineStr">
        <is>
          <t>P7</t>
        </is>
      </c>
      <c r="B24" s="5" t="inlineStr">
        <is>
          <t>mar</t>
        </is>
      </c>
      <c r="C24" s="5" t="inlineStr">
        <is>
          <t>Pie</t>
        </is>
      </c>
      <c r="D24" s="5" t="inlineStr">
        <is>
          <t>ELR05</t>
        </is>
      </c>
      <c r="E24" s="20" t="n">
        <v>347.27</v>
      </c>
      <c r="F24" s="20" t="n">
        <v>-258.03</v>
      </c>
      <c r="G24" s="20" t="n">
        <v>6.945</v>
      </c>
      <c r="H24" s="7" t="n">
        <v>0.65482</v>
      </c>
      <c r="I24" s="5" t="inlineStr">
        <is>
          <t>ELR08</t>
        </is>
      </c>
      <c r="J24" s="20" t="n">
        <v>-356.88</v>
      </c>
      <c r="K24" s="20" t="n">
        <v>72.325</v>
      </c>
      <c r="L24" s="7" t="n">
        <v>0.91276</v>
      </c>
      <c r="M24" s="5" t="inlineStr">
        <is>
          <t>ELR08</t>
        </is>
      </c>
      <c r="N24" s="20" t="n">
        <v>83.486</v>
      </c>
      <c r="O24" s="20" t="n">
        <v>144.28</v>
      </c>
      <c r="P24" s="20" t="n">
        <v>949.5</v>
      </c>
      <c r="Q24" s="20" t="n">
        <v>397.73</v>
      </c>
      <c r="R24" s="7" t="n">
        <v>0.20991</v>
      </c>
      <c r="S24" s="21" t="n">
        <v>0.88</v>
      </c>
      <c r="T24" s="21" t="n">
        <v>0.527</v>
      </c>
    </row>
    <row r="25">
      <c r="A25" s="5" t="inlineStr">
        <is>
          <t>P7</t>
        </is>
      </c>
      <c r="B25" s="5" t="inlineStr">
        <is>
          <t>mar</t>
        </is>
      </c>
      <c r="C25" s="5" t="inlineStr">
        <is>
          <t>Arranque</t>
        </is>
      </c>
      <c r="D25" s="5" t="inlineStr">
        <is>
          <t>ELR05</t>
        </is>
      </c>
      <c r="E25" s="20" t="n">
        <v>347.27</v>
      </c>
      <c r="F25" s="20" t="n">
        <v>-258.03</v>
      </c>
      <c r="G25" s="20" t="n">
        <v>6.945</v>
      </c>
      <c r="H25" s="7" t="n">
        <v>0.64805</v>
      </c>
      <c r="I25" s="5" t="inlineStr">
        <is>
          <t>ELR08</t>
        </is>
      </c>
      <c r="J25" s="20" t="n">
        <v>-356.49</v>
      </c>
      <c r="K25" s="20" t="n">
        <v>71.938</v>
      </c>
      <c r="L25" s="7" t="n">
        <v>0.90076</v>
      </c>
      <c r="M25" s="5" t="inlineStr">
        <is>
          <t>ELR05</t>
        </is>
      </c>
      <c r="N25" s="20" t="n">
        <v>75.85599999999999</v>
      </c>
      <c r="O25" s="20" t="n">
        <v>144.73</v>
      </c>
      <c r="P25" s="20" t="n">
        <v>953.1</v>
      </c>
      <c r="Q25" s="20" t="n">
        <v>144.73</v>
      </c>
      <c r="R25" s="7" t="n">
        <v>0.52412</v>
      </c>
      <c r="S25" s="21" t="n">
        <v>0.869</v>
      </c>
      <c r="T25" s="21" t="n">
        <v>0.081</v>
      </c>
    </row>
    <row r="26">
      <c r="A26" s="5" t="inlineStr">
        <is>
          <t>P8</t>
        </is>
      </c>
      <c r="B26" s="5" t="inlineStr">
        <is>
          <t>tierra</t>
        </is>
      </c>
      <c r="C26" s="5" t="inlineStr">
        <is>
          <t>Cabeza</t>
        </is>
      </c>
      <c r="D26" s="5" t="inlineStr">
        <is>
          <t>ELR05</t>
        </is>
      </c>
      <c r="E26" s="20" t="n">
        <v>-115.78</v>
      </c>
      <c r="F26" s="20" t="n">
        <v>233.21</v>
      </c>
      <c r="G26" s="20" t="n">
        <v>1.065</v>
      </c>
      <c r="H26" s="7" t="n">
        <v>0.70152</v>
      </c>
      <c r="I26" s="5" t="inlineStr">
        <is>
          <t>ELR07</t>
        </is>
      </c>
      <c r="J26" s="20" t="n">
        <v>205.43</v>
      </c>
      <c r="K26" s="20" t="n">
        <v>1.065</v>
      </c>
      <c r="L26" s="7" t="n">
        <v>0.54175</v>
      </c>
      <c r="M26" s="5" t="inlineStr">
        <is>
          <t>ELR05</t>
        </is>
      </c>
      <c r="N26" s="20" t="n">
        <v>71.92</v>
      </c>
      <c r="O26" s="20" t="n">
        <v>98.48099999999999</v>
      </c>
      <c r="P26" s="20" t="n">
        <v>949.5</v>
      </c>
      <c r="Q26" s="20" t="n">
        <v>397.73</v>
      </c>
      <c r="R26" s="7" t="n">
        <v>0.18083</v>
      </c>
      <c r="S26" s="21" t="n">
        <v>0.709</v>
      </c>
      <c r="T26" s="21" t="n">
        <v>0.731</v>
      </c>
    </row>
    <row r="27">
      <c r="A27" s="5" t="inlineStr">
        <is>
          <t>P8</t>
        </is>
      </c>
      <c r="B27" s="5" t="inlineStr">
        <is>
          <t>tierra</t>
        </is>
      </c>
      <c r="C27" s="5" t="inlineStr">
        <is>
          <t>Pie</t>
        </is>
      </c>
      <c r="D27" s="5" t="inlineStr">
        <is>
          <t>ELR05</t>
        </is>
      </c>
      <c r="E27" s="20" t="n">
        <v>-91.488</v>
      </c>
      <c r="F27" s="20" t="n">
        <v>-248.66</v>
      </c>
      <c r="G27" s="20" t="n">
        <v>-1.158</v>
      </c>
      <c r="H27" s="7" t="n">
        <v>0.73943</v>
      </c>
      <c r="I27" s="5" t="inlineStr">
        <is>
          <t>ELR07</t>
        </is>
      </c>
      <c r="J27" s="20" t="n">
        <v>-234.93</v>
      </c>
      <c r="K27" s="20" t="n">
        <v>-1.158</v>
      </c>
      <c r="L27" s="7" t="n">
        <v>0.62016</v>
      </c>
      <c r="M27" s="5" t="inlineStr">
        <is>
          <t>ELR05</t>
        </is>
      </c>
      <c r="N27" s="20" t="n">
        <v>71.92</v>
      </c>
      <c r="O27" s="20" t="n">
        <v>100.88</v>
      </c>
      <c r="P27" s="20" t="n">
        <v>949.5</v>
      </c>
      <c r="Q27" s="20" t="n">
        <v>397.73</v>
      </c>
      <c r="R27" s="7" t="n">
        <v>0.18083</v>
      </c>
      <c r="S27" s="21" t="n">
        <v>0.746</v>
      </c>
      <c r="T27" s="21" t="n">
        <v>0.712</v>
      </c>
    </row>
    <row r="28">
      <c r="A28" s="5" t="inlineStr">
        <is>
          <t>P8</t>
        </is>
      </c>
      <c r="B28" s="5" t="inlineStr">
        <is>
          <t>tierra</t>
        </is>
      </c>
      <c r="C28" s="5" t="inlineStr">
        <is>
          <t>Arranque</t>
        </is>
      </c>
      <c r="D28" s="5" t="inlineStr">
        <is>
          <t>ELR05</t>
        </is>
      </c>
      <c r="E28" s="20" t="n">
        <v>-91.488</v>
      </c>
      <c r="F28" s="20" t="n">
        <v>-248.66</v>
      </c>
      <c r="G28" s="20" t="n">
        <v>-1.158</v>
      </c>
      <c r="H28" s="7" t="n">
        <v>0.73282</v>
      </c>
      <c r="I28" s="5" t="inlineStr">
        <is>
          <t>ELR07</t>
        </is>
      </c>
      <c r="J28" s="20" t="n">
        <v>-234.93</v>
      </c>
      <c r="K28" s="20" t="n">
        <v>-1.158</v>
      </c>
      <c r="L28" s="7" t="n">
        <v>0.61395</v>
      </c>
      <c r="M28" s="5" t="inlineStr">
        <is>
          <t>ELR05</t>
        </is>
      </c>
      <c r="N28" s="20" t="n">
        <v>71.92</v>
      </c>
      <c r="O28" s="20" t="n">
        <v>101.17</v>
      </c>
      <c r="P28" s="20" t="n">
        <v>953.1</v>
      </c>
      <c r="Q28" s="20" t="n">
        <v>101.17</v>
      </c>
      <c r="R28" s="7" t="n">
        <v>0.71089</v>
      </c>
      <c r="S28" s="21" t="n">
        <v>0.74</v>
      </c>
      <c r="T28" s="21" t="n">
        <v>0.07099999999999999</v>
      </c>
    </row>
    <row r="29">
      <c r="A29" s="5" t="inlineStr">
        <is>
          <t>P13</t>
        </is>
      </c>
      <c r="B29" s="5" t="inlineStr">
        <is>
          <t>mar</t>
        </is>
      </c>
      <c r="C29" s="5" t="inlineStr">
        <is>
          <t>Cabeza</t>
        </is>
      </c>
      <c r="D29" s="5" t="inlineStr">
        <is>
          <t>ELR08</t>
        </is>
      </c>
      <c r="E29" s="20" t="n">
        <v>691.88</v>
      </c>
      <c r="F29" s="20" t="n">
        <v>270.31</v>
      </c>
      <c r="G29" s="20" t="n">
        <v>-13.838</v>
      </c>
      <c r="H29" s="7" t="n">
        <v>0.62995</v>
      </c>
      <c r="I29" s="5" t="inlineStr">
        <is>
          <t>ELR08</t>
        </is>
      </c>
      <c r="J29" s="20" t="n">
        <v>347.26</v>
      </c>
      <c r="K29" s="20" t="n">
        <v>-72.61199999999999</v>
      </c>
      <c r="L29" s="7" t="n">
        <v>0.89266</v>
      </c>
      <c r="M29" s="5" t="inlineStr">
        <is>
          <t>ELR08</t>
        </is>
      </c>
      <c r="N29" s="20" t="n">
        <v>80.23099999999999</v>
      </c>
      <c r="O29" s="20" t="n">
        <v>142.89</v>
      </c>
      <c r="P29" s="20" t="n">
        <v>949.5</v>
      </c>
      <c r="Q29" s="20" t="n">
        <v>397.73</v>
      </c>
      <c r="R29" s="7" t="n">
        <v>0.20172</v>
      </c>
      <c r="S29" s="21" t="n">
        <v>0.846</v>
      </c>
      <c r="T29" s="21" t="n">
        <v>0.51</v>
      </c>
    </row>
    <row r="30">
      <c r="A30" s="5" t="inlineStr">
        <is>
          <t>P13</t>
        </is>
      </c>
      <c r="B30" s="5" t="inlineStr">
        <is>
          <t>mar</t>
        </is>
      </c>
      <c r="C30" s="5" t="inlineStr">
        <is>
          <t>Pie</t>
        </is>
      </c>
      <c r="D30" s="5" t="inlineStr">
        <is>
          <t>ELR05</t>
        </is>
      </c>
      <c r="E30" s="20" t="n">
        <v>357.51</v>
      </c>
      <c r="F30" s="20" t="n">
        <v>-249.25</v>
      </c>
      <c r="G30" s="20" t="n">
        <v>7.15</v>
      </c>
      <c r="H30" s="7" t="n">
        <v>0.62731</v>
      </c>
      <c r="I30" s="5" t="inlineStr">
        <is>
          <t>ELR08</t>
        </is>
      </c>
      <c r="J30" s="20" t="n">
        <v>-347.79</v>
      </c>
      <c r="K30" s="20" t="n">
        <v>74.32599999999999</v>
      </c>
      <c r="L30" s="7" t="n">
        <v>0.89141</v>
      </c>
      <c r="M30" s="5" t="inlineStr">
        <is>
          <t>ELR08</t>
        </is>
      </c>
      <c r="N30" s="20" t="n">
        <v>80.23099999999999</v>
      </c>
      <c r="O30" s="20" t="n">
        <v>145.29</v>
      </c>
      <c r="P30" s="20" t="n">
        <v>949.5</v>
      </c>
      <c r="Q30" s="20" t="n">
        <v>397.73</v>
      </c>
      <c r="R30" s="7" t="n">
        <v>0.20172</v>
      </c>
      <c r="S30" s="21" t="n">
        <v>0.855</v>
      </c>
      <c r="T30" s="21" t="n">
        <v>0.501</v>
      </c>
    </row>
    <row r="31">
      <c r="A31" s="5" t="inlineStr">
        <is>
          <t>P13</t>
        </is>
      </c>
      <c r="B31" s="5" t="inlineStr">
        <is>
          <t>mar</t>
        </is>
      </c>
      <c r="C31" s="5" t="inlineStr">
        <is>
          <t>Arranque</t>
        </is>
      </c>
      <c r="D31" s="5" t="inlineStr">
        <is>
          <t>ELR05</t>
        </is>
      </c>
      <c r="E31" s="20" t="n">
        <v>357.51</v>
      </c>
      <c r="F31" s="20" t="n">
        <v>-249.25</v>
      </c>
      <c r="G31" s="20" t="n">
        <v>7.15</v>
      </c>
      <c r="H31" s="7" t="n">
        <v>0.62077</v>
      </c>
      <c r="I31" s="5" t="inlineStr">
        <is>
          <t>ELR08</t>
        </is>
      </c>
      <c r="J31" s="20" t="n">
        <v>-347.4</v>
      </c>
      <c r="K31" s="20" t="n">
        <v>73.93899999999999</v>
      </c>
      <c r="L31" s="7" t="n">
        <v>0.87928</v>
      </c>
      <c r="M31" s="5" t="inlineStr">
        <is>
          <t>ELR05</t>
        </is>
      </c>
      <c r="N31" s="20" t="n">
        <v>72.748</v>
      </c>
      <c r="O31" s="20" t="n">
        <v>145.75</v>
      </c>
      <c r="P31" s="20" t="n">
        <v>953.1</v>
      </c>
      <c r="Q31" s="20" t="n">
        <v>145.75</v>
      </c>
      <c r="R31" s="7" t="n">
        <v>0.49914</v>
      </c>
      <c r="S31" s="21" t="n">
        <v>0.844</v>
      </c>
      <c r="T31" s="21" t="n">
        <v>0.078</v>
      </c>
    </row>
    <row r="32">
      <c r="A32" s="5" t="inlineStr">
        <is>
          <t>P14</t>
        </is>
      </c>
      <c r="B32" s="5" t="inlineStr">
        <is>
          <t>tierra</t>
        </is>
      </c>
      <c r="C32" s="5" t="inlineStr">
        <is>
          <t>Cabeza</t>
        </is>
      </c>
      <c r="D32" s="5" t="inlineStr">
        <is>
          <t>ELR05</t>
        </is>
      </c>
      <c r="E32" s="20" t="n">
        <v>-128.3</v>
      </c>
      <c r="F32" s="20" t="n">
        <v>232.26</v>
      </c>
      <c r="G32" s="20" t="n">
        <v>0.37355</v>
      </c>
      <c r="H32" s="7" t="n">
        <v>0.70179</v>
      </c>
      <c r="I32" s="5" t="inlineStr">
        <is>
          <t>ELR07</t>
        </is>
      </c>
      <c r="J32" s="20" t="n">
        <v>204.87</v>
      </c>
      <c r="K32" s="20" t="n">
        <v>-2.148</v>
      </c>
      <c r="L32" s="7" t="n">
        <v>0.54596</v>
      </c>
      <c r="M32" s="5" t="inlineStr">
        <is>
          <t>ELR05</t>
        </is>
      </c>
      <c r="N32" s="20" t="n">
        <v>71.38500000000001</v>
      </c>
      <c r="O32" s="20" t="n">
        <v>97.244</v>
      </c>
      <c r="P32" s="20" t="n">
        <v>949.5</v>
      </c>
      <c r="Q32" s="20" t="n">
        <v>397.73</v>
      </c>
      <c r="R32" s="7" t="n">
        <v>0.17948</v>
      </c>
      <c r="S32" s="21" t="n">
        <v>0.712</v>
      </c>
      <c r="T32" s="21" t="n">
        <v>0.736</v>
      </c>
    </row>
    <row r="33">
      <c r="A33" s="5" t="inlineStr">
        <is>
          <t>P14</t>
        </is>
      </c>
      <c r="B33" s="5" t="inlineStr">
        <is>
          <t>tierra</t>
        </is>
      </c>
      <c r="C33" s="5" t="inlineStr">
        <is>
          <t>Pie</t>
        </is>
      </c>
      <c r="D33" s="5" t="inlineStr">
        <is>
          <t>ELR05</t>
        </is>
      </c>
      <c r="E33" s="20" t="n">
        <v>-104</v>
      </c>
      <c r="F33" s="20" t="n">
        <v>-246.01</v>
      </c>
      <c r="G33" s="20" t="n">
        <v>-0.7774</v>
      </c>
      <c r="H33" s="7" t="n">
        <v>0.73497</v>
      </c>
      <c r="I33" s="5" t="inlineStr">
        <is>
          <t>ELR07</t>
        </is>
      </c>
      <c r="J33" s="20" t="n">
        <v>-232.37</v>
      </c>
      <c r="K33" s="20" t="n">
        <v>0.6128</v>
      </c>
      <c r="L33" s="7" t="n">
        <v>0.61785</v>
      </c>
      <c r="M33" s="5" t="inlineStr">
        <is>
          <t>ELR05</t>
        </is>
      </c>
      <c r="N33" s="20" t="n">
        <v>71.38500000000001</v>
      </c>
      <c r="O33" s="20" t="n">
        <v>99.64700000000001</v>
      </c>
      <c r="P33" s="20" t="n">
        <v>949.5</v>
      </c>
      <c r="Q33" s="20" t="n">
        <v>397.73</v>
      </c>
      <c r="R33" s="7" t="n">
        <v>0.17948</v>
      </c>
      <c r="S33" s="21" t="n">
        <v>0.743</v>
      </c>
      <c r="T33" s="21" t="n">
        <v>0.717</v>
      </c>
    </row>
    <row r="34">
      <c r="A34" s="5" t="inlineStr">
        <is>
          <t>P14</t>
        </is>
      </c>
      <c r="B34" s="5" t="inlineStr">
        <is>
          <t>tierra</t>
        </is>
      </c>
      <c r="C34" s="5" t="inlineStr">
        <is>
          <t>Arranque</t>
        </is>
      </c>
      <c r="D34" s="5" t="inlineStr">
        <is>
          <t>ELR05</t>
        </is>
      </c>
      <c r="E34" s="20" t="n">
        <v>-104</v>
      </c>
      <c r="F34" s="20" t="n">
        <v>-246.01</v>
      </c>
      <c r="G34" s="20" t="n">
        <v>-0.7774</v>
      </c>
      <c r="H34" s="7" t="n">
        <v>0.72842</v>
      </c>
      <c r="I34" s="5" t="inlineStr">
        <is>
          <t>ELR07</t>
        </is>
      </c>
      <c r="J34" s="20" t="n">
        <v>-232.37</v>
      </c>
      <c r="K34" s="20" t="n">
        <v>0.6128</v>
      </c>
      <c r="L34" s="7" t="n">
        <v>0.61171</v>
      </c>
      <c r="M34" s="5" t="inlineStr">
        <is>
          <t>ELR05</t>
        </is>
      </c>
      <c r="N34" s="20" t="n">
        <v>71.38500000000001</v>
      </c>
      <c r="O34" s="20" t="n">
        <v>99.92700000000001</v>
      </c>
      <c r="P34" s="20" t="n">
        <v>953.1</v>
      </c>
      <c r="Q34" s="20" t="n">
        <v>99.92700000000001</v>
      </c>
      <c r="R34" s="7" t="n">
        <v>0.7143699999999999</v>
      </c>
      <c r="S34" s="21" t="n">
        <v>0.737</v>
      </c>
      <c r="T34" s="21" t="n">
        <v>0.07099999999999999</v>
      </c>
    </row>
    <row r="35">
      <c r="A35" s="5" t="inlineStr">
        <is>
          <t>P15</t>
        </is>
      </c>
      <c r="B35" s="5" t="inlineStr">
        <is>
          <t>mar</t>
        </is>
      </c>
      <c r="C35" s="5" t="inlineStr">
        <is>
          <t>Cabeza</t>
        </is>
      </c>
      <c r="D35" s="5" t="inlineStr">
        <is>
          <t>ELR08</t>
        </is>
      </c>
      <c r="E35" s="20" t="n">
        <v>724.37</v>
      </c>
      <c r="F35" s="20" t="n">
        <v>278.04</v>
      </c>
      <c r="G35" s="20" t="n">
        <v>17.397</v>
      </c>
      <c r="H35" s="7" t="n">
        <v>0.6495</v>
      </c>
      <c r="I35" s="5" t="inlineStr">
        <is>
          <t>ELR08</t>
        </is>
      </c>
      <c r="J35" s="20" t="n">
        <v>358.62</v>
      </c>
      <c r="K35" s="20" t="n">
        <v>88.593</v>
      </c>
      <c r="L35" s="7" t="n">
        <v>0.93665</v>
      </c>
      <c r="M35" s="5" t="inlineStr">
        <is>
          <t>ELR08</t>
        </is>
      </c>
      <c r="N35" s="20" t="n">
        <v>81.792</v>
      </c>
      <c r="O35" s="20" t="n">
        <v>142.08</v>
      </c>
      <c r="P35" s="20" t="n">
        <v>949.5</v>
      </c>
      <c r="Q35" s="20" t="n">
        <v>397.73</v>
      </c>
      <c r="R35" s="7" t="n">
        <v>0.20565</v>
      </c>
      <c r="S35" s="21" t="n">
        <v>0.874</v>
      </c>
      <c r="T35" s="21" t="n">
        <v>0.519</v>
      </c>
    </row>
    <row r="36">
      <c r="A36" s="5" t="inlineStr">
        <is>
          <t>P15</t>
        </is>
      </c>
      <c r="B36" s="5" t="inlineStr">
        <is>
          <t>mar</t>
        </is>
      </c>
      <c r="C36" s="5" t="inlineStr">
        <is>
          <t>Pie</t>
        </is>
      </c>
      <c r="D36" s="5" t="inlineStr">
        <is>
          <t>ELR05</t>
        </is>
      </c>
      <c r="E36" s="20" t="n">
        <v>349.33</v>
      </c>
      <c r="F36" s="20" t="n">
        <v>-249.44</v>
      </c>
      <c r="G36" s="20" t="n">
        <v>-6.987</v>
      </c>
      <c r="H36" s="7" t="n">
        <v>0.62979</v>
      </c>
      <c r="I36" s="5" t="inlineStr">
        <is>
          <t>ELR08</t>
        </is>
      </c>
      <c r="J36" s="20" t="n">
        <v>-353.54</v>
      </c>
      <c r="K36" s="20" t="n">
        <v>-83.452</v>
      </c>
      <c r="L36" s="7" t="n">
        <v>0.91271</v>
      </c>
      <c r="M36" s="5" t="inlineStr">
        <is>
          <t>ELR08</t>
        </is>
      </c>
      <c r="N36" s="20" t="n">
        <v>81.792</v>
      </c>
      <c r="O36" s="20" t="n">
        <v>144.48</v>
      </c>
      <c r="P36" s="20" t="n">
        <v>949.5</v>
      </c>
      <c r="Q36" s="20" t="n">
        <v>397.73</v>
      </c>
      <c r="R36" s="7" t="n">
        <v>0.20565</v>
      </c>
      <c r="S36" s="21" t="n">
        <v>0.864</v>
      </c>
      <c r="T36" s="21" t="n">
        <v>0.51</v>
      </c>
    </row>
    <row r="37">
      <c r="A37" s="5" t="inlineStr">
        <is>
          <t>P15</t>
        </is>
      </c>
      <c r="B37" s="5" t="inlineStr">
        <is>
          <t>mar</t>
        </is>
      </c>
      <c r="C37" s="5" t="inlineStr">
        <is>
          <t>Arranque</t>
        </is>
      </c>
      <c r="D37" s="5" t="inlineStr">
        <is>
          <t>ELR05</t>
        </is>
      </c>
      <c r="E37" s="20" t="n">
        <v>349.33</v>
      </c>
      <c r="F37" s="20" t="n">
        <v>-249.44</v>
      </c>
      <c r="G37" s="20" t="n">
        <v>-6.987</v>
      </c>
      <c r="H37" s="7" t="n">
        <v>0.62324</v>
      </c>
      <c r="I37" s="5" t="inlineStr">
        <is>
          <t>ELR08</t>
        </is>
      </c>
      <c r="J37" s="20" t="n">
        <v>-353.13</v>
      </c>
      <c r="K37" s="20" t="n">
        <v>-83.047</v>
      </c>
      <c r="L37" s="7" t="n">
        <v>0.90029</v>
      </c>
      <c r="M37" s="5" t="inlineStr">
        <is>
          <t>ELR05</t>
        </is>
      </c>
      <c r="N37" s="20" t="n">
        <v>73.404</v>
      </c>
      <c r="O37" s="20" t="n">
        <v>144.93</v>
      </c>
      <c r="P37" s="20" t="n">
        <v>953.1</v>
      </c>
      <c r="Q37" s="20" t="n">
        <v>144.93</v>
      </c>
      <c r="R37" s="7" t="n">
        <v>0.50646</v>
      </c>
      <c r="S37" s="21" t="n">
        <v>0.853</v>
      </c>
      <c r="T37" s="21" t="n">
        <v>0.08</v>
      </c>
    </row>
    <row r="38">
      <c r="A38" s="5" t="inlineStr">
        <is>
          <t>P16</t>
        </is>
      </c>
      <c r="B38" s="5" t="inlineStr">
        <is>
          <t>mar</t>
        </is>
      </c>
      <c r="C38" s="5" t="inlineStr">
        <is>
          <t>Cabeza</t>
        </is>
      </c>
      <c r="D38" s="5" t="inlineStr">
        <is>
          <t>ELR08</t>
        </is>
      </c>
      <c r="E38" s="20" t="n">
        <v>427.46</v>
      </c>
      <c r="F38" s="20" t="n">
        <v>245</v>
      </c>
      <c r="G38" s="20" t="n">
        <v>-65.31100000000001</v>
      </c>
      <c r="H38" s="7" t="n">
        <v>0.65869</v>
      </c>
      <c r="I38" s="5" t="inlineStr">
        <is>
          <t>ELR08</t>
        </is>
      </c>
      <c r="J38" s="20" t="n">
        <v>292.54</v>
      </c>
      <c r="K38" s="20" t="n">
        <v>-107.32</v>
      </c>
      <c r="L38" s="7" t="n">
        <v>0.84282</v>
      </c>
      <c r="M38" s="5" t="inlineStr">
        <is>
          <t>ELR08</t>
        </is>
      </c>
      <c r="N38" s="20" t="n">
        <v>75.27800000000001</v>
      </c>
      <c r="O38" s="20" t="n">
        <v>133.7</v>
      </c>
      <c r="P38" s="20" t="n">
        <v>949.5</v>
      </c>
      <c r="Q38" s="20" t="n">
        <v>397.73</v>
      </c>
      <c r="R38" s="7" t="n">
        <v>0.18927</v>
      </c>
      <c r="S38" s="21" t="n">
        <v>0.761</v>
      </c>
      <c r="T38" s="21" t="n">
        <v>0.531</v>
      </c>
    </row>
    <row r="39">
      <c r="A39" s="5" t="inlineStr">
        <is>
          <t>P16</t>
        </is>
      </c>
      <c r="B39" s="5" t="inlineStr">
        <is>
          <t>mar</t>
        </is>
      </c>
      <c r="C39" s="5" t="inlineStr">
        <is>
          <t>Pie</t>
        </is>
      </c>
      <c r="D39" s="5" t="inlineStr">
        <is>
          <t>ELR07</t>
        </is>
      </c>
      <c r="E39" s="20" t="n">
        <v>428.56</v>
      </c>
      <c r="F39" s="20" t="n">
        <v>-248.17</v>
      </c>
      <c r="G39" s="20" t="n">
        <v>33.982</v>
      </c>
      <c r="H39" s="7" t="n">
        <v>0.63198</v>
      </c>
      <c r="I39" s="5" t="inlineStr">
        <is>
          <t>ELR08</t>
        </is>
      </c>
      <c r="J39" s="20" t="n">
        <v>-300.17</v>
      </c>
      <c r="K39" s="20" t="n">
        <v>81.79900000000001</v>
      </c>
      <c r="L39" s="7" t="n">
        <v>0.82269</v>
      </c>
      <c r="M39" s="5" t="inlineStr">
        <is>
          <t>ELR08</t>
        </is>
      </c>
      <c r="N39" s="20" t="n">
        <v>75.27800000000001</v>
      </c>
      <c r="O39" s="20" t="n">
        <v>136.1</v>
      </c>
      <c r="P39" s="20" t="n">
        <v>949.5</v>
      </c>
      <c r="Q39" s="20" t="n">
        <v>397.73</v>
      </c>
      <c r="R39" s="7" t="n">
        <v>0.18927</v>
      </c>
      <c r="S39" s="21" t="n">
        <v>0.775</v>
      </c>
      <c r="T39" s="21" t="n">
        <v>0.52</v>
      </c>
    </row>
    <row r="40">
      <c r="A40" s="5" t="inlineStr">
        <is>
          <t>P16</t>
        </is>
      </c>
      <c r="B40" s="5" t="inlineStr">
        <is>
          <t>mar</t>
        </is>
      </c>
      <c r="C40" s="5" t="inlineStr">
        <is>
          <t>Arranque</t>
        </is>
      </c>
      <c r="D40" s="5" t="inlineStr">
        <is>
          <t>ELR07</t>
        </is>
      </c>
      <c r="E40" s="20" t="n">
        <v>428.56</v>
      </c>
      <c r="F40" s="20" t="n">
        <v>-248.17</v>
      </c>
      <c r="G40" s="20" t="n">
        <v>33.982</v>
      </c>
      <c r="H40" s="7" t="n">
        <v>0.6250599999999999</v>
      </c>
      <c r="I40" s="5" t="inlineStr">
        <is>
          <t>ELR08</t>
        </is>
      </c>
      <c r="J40" s="20" t="n">
        <v>-299.92</v>
      </c>
      <c r="K40" s="20" t="n">
        <v>81.553</v>
      </c>
      <c r="L40" s="7" t="n">
        <v>0.81306</v>
      </c>
      <c r="M40" s="5" t="inlineStr">
        <is>
          <t>ELR05</t>
        </is>
      </c>
      <c r="N40" s="20" t="n">
        <v>70.902</v>
      </c>
      <c r="O40" s="20" t="n">
        <v>136.52</v>
      </c>
      <c r="P40" s="20" t="n">
        <v>953.1</v>
      </c>
      <c r="Q40" s="20" t="n">
        <v>136.52</v>
      </c>
      <c r="R40" s="7" t="n">
        <v>0.51934</v>
      </c>
      <c r="S40" s="21" t="n">
        <v>0.765</v>
      </c>
      <c r="T40" s="21" t="n">
        <v>0.073</v>
      </c>
    </row>
    <row r="41">
      <c r="A41" s="5" t="inlineStr">
        <is>
          <t>P17</t>
        </is>
      </c>
      <c r="B41" s="5" t="inlineStr">
        <is>
          <t>tierra</t>
        </is>
      </c>
      <c r="C41" s="5" t="inlineStr">
        <is>
          <t>Cabeza</t>
        </is>
      </c>
      <c r="D41" s="5" t="inlineStr">
        <is>
          <t>ELR05</t>
        </is>
      </c>
      <c r="E41" s="20" t="n">
        <v>-102.88</v>
      </c>
      <c r="F41" s="20" t="n">
        <v>223.86</v>
      </c>
      <c r="G41" s="20" t="n">
        <v>4.628</v>
      </c>
      <c r="H41" s="7" t="n">
        <v>0.67323</v>
      </c>
      <c r="I41" s="5" t="inlineStr">
        <is>
          <t>ELR07</t>
        </is>
      </c>
      <c r="J41" s="20" t="n">
        <v>193.87</v>
      </c>
      <c r="K41" s="20" t="n">
        <v>17.695</v>
      </c>
      <c r="L41" s="7" t="n">
        <v>0.50747</v>
      </c>
      <c r="M41" s="5" t="inlineStr">
        <is>
          <t>ELR05</t>
        </is>
      </c>
      <c r="N41" s="20" t="n">
        <v>69.131</v>
      </c>
      <c r="O41" s="20" t="n">
        <v>99.758</v>
      </c>
      <c r="P41" s="20" t="n">
        <v>949.5</v>
      </c>
      <c r="Q41" s="20" t="n">
        <v>397.73</v>
      </c>
      <c r="R41" s="7" t="n">
        <v>0.17381</v>
      </c>
      <c r="S41" s="21" t="n">
        <v>0.678</v>
      </c>
      <c r="T41" s="21" t="n">
        <v>0.6919999999999999</v>
      </c>
    </row>
    <row r="42">
      <c r="A42" s="5" t="inlineStr">
        <is>
          <t>P17</t>
        </is>
      </c>
      <c r="B42" s="5" t="inlineStr">
        <is>
          <t>tierra</t>
        </is>
      </c>
      <c r="C42" s="5" t="inlineStr">
        <is>
          <t>Pie</t>
        </is>
      </c>
      <c r="D42" s="5" t="inlineStr">
        <is>
          <t>ELR05</t>
        </is>
      </c>
      <c r="E42" s="20" t="n">
        <v>-78.58199999999999</v>
      </c>
      <c r="F42" s="20" t="n">
        <v>-239.25</v>
      </c>
      <c r="G42" s="20" t="n">
        <v>-3.123</v>
      </c>
      <c r="H42" s="7" t="n">
        <v>0.71003</v>
      </c>
      <c r="I42" s="5" t="inlineStr">
        <is>
          <t>ELR07</t>
        </is>
      </c>
      <c r="J42" s="20" t="n">
        <v>-224.52</v>
      </c>
      <c r="K42" s="20" t="n">
        <v>-10.326</v>
      </c>
      <c r="L42" s="7" t="n">
        <v>0.58499</v>
      </c>
      <c r="M42" s="5" t="inlineStr">
        <is>
          <t>ELR05</t>
        </is>
      </c>
      <c r="N42" s="20" t="n">
        <v>69.131</v>
      </c>
      <c r="O42" s="20" t="n">
        <v>102.16</v>
      </c>
      <c r="P42" s="20" t="n">
        <v>949.5</v>
      </c>
      <c r="Q42" s="20" t="n">
        <v>397.73</v>
      </c>
      <c r="R42" s="7" t="n">
        <v>0.17381</v>
      </c>
      <c r="S42" s="21" t="n">
        <v>0.715</v>
      </c>
      <c r="T42" s="21" t="n">
        <v>0.675</v>
      </c>
    </row>
    <row r="43">
      <c r="A43" s="5" t="inlineStr">
        <is>
          <t>P17</t>
        </is>
      </c>
      <c r="B43" s="5" t="inlineStr">
        <is>
          <t>tierra</t>
        </is>
      </c>
      <c r="C43" s="5" t="inlineStr">
        <is>
          <t>Arranque</t>
        </is>
      </c>
      <c r="D43" s="5" t="inlineStr">
        <is>
          <t>ELR05</t>
        </is>
      </c>
      <c r="E43" s="20" t="n">
        <v>-78.58199999999999</v>
      </c>
      <c r="F43" s="20" t="n">
        <v>-239.25</v>
      </c>
      <c r="G43" s="20" t="n">
        <v>-3.123</v>
      </c>
      <c r="H43" s="7" t="n">
        <v>0.70368</v>
      </c>
      <c r="I43" s="5" t="inlineStr">
        <is>
          <t>ELR07</t>
        </is>
      </c>
      <c r="J43" s="20" t="n">
        <v>-224.52</v>
      </c>
      <c r="K43" s="20" t="n">
        <v>-10.326</v>
      </c>
      <c r="L43" s="7" t="n">
        <v>0.57911</v>
      </c>
      <c r="M43" s="5" t="inlineStr">
        <is>
          <t>ELR05</t>
        </is>
      </c>
      <c r="N43" s="20" t="n">
        <v>69.131</v>
      </c>
      <c r="O43" s="20" t="n">
        <v>102.45</v>
      </c>
      <c r="P43" s="20" t="n">
        <v>953.1</v>
      </c>
      <c r="Q43" s="20" t="n">
        <v>102.45</v>
      </c>
      <c r="R43" s="7" t="n">
        <v>0.67477</v>
      </c>
      <c r="S43" s="21" t="n">
        <v>0.709</v>
      </c>
      <c r="T43" s="21" t="n">
        <v>0.06900000000000001</v>
      </c>
    </row>
    <row r="44">
      <c r="A44" s="5" t="inlineStr">
        <is>
          <t>P18</t>
        </is>
      </c>
      <c r="B44" s="5" t="inlineStr">
        <is>
          <t>tierra</t>
        </is>
      </c>
      <c r="C44" s="5" t="inlineStr">
        <is>
          <t>Cabeza</t>
        </is>
      </c>
      <c r="D44" s="5" t="inlineStr">
        <is>
          <t>ELR05</t>
        </is>
      </c>
      <c r="E44" s="20" t="n">
        <v>-138.48</v>
      </c>
      <c r="F44" s="20" t="n">
        <v>233.49</v>
      </c>
      <c r="G44" s="20" t="n">
        <v>-12.268</v>
      </c>
      <c r="H44" s="7" t="n">
        <v>0.71497</v>
      </c>
      <c r="I44" s="5" t="inlineStr">
        <is>
          <t>ELR07</t>
        </is>
      </c>
      <c r="J44" s="20" t="n">
        <v>222.86</v>
      </c>
      <c r="K44" s="20" t="n">
        <v>-58.288</v>
      </c>
      <c r="L44" s="7" t="n">
        <v>0.68226</v>
      </c>
      <c r="M44" s="5" t="inlineStr">
        <is>
          <t>ELR05</t>
        </is>
      </c>
      <c r="N44" s="20" t="n">
        <v>71.084</v>
      </c>
      <c r="O44" s="20" t="n">
        <v>96.23699999999999</v>
      </c>
      <c r="P44" s="20" t="n">
        <v>949.5</v>
      </c>
      <c r="Q44" s="20" t="n">
        <v>397.73</v>
      </c>
      <c r="R44" s="7" t="n">
        <v>0.17873</v>
      </c>
      <c r="S44" s="21" t="n">
        <v>0.725</v>
      </c>
      <c r="T44" s="21" t="n">
        <v>0.742</v>
      </c>
    </row>
    <row r="45">
      <c r="A45" s="5" t="inlineStr">
        <is>
          <t>P18</t>
        </is>
      </c>
      <c r="B45" s="5" t="inlineStr">
        <is>
          <t>tierra</t>
        </is>
      </c>
      <c r="C45" s="5" t="inlineStr">
        <is>
          <t>Pie</t>
        </is>
      </c>
      <c r="D45" s="5" t="inlineStr">
        <is>
          <t>ELR05</t>
        </is>
      </c>
      <c r="E45" s="20" t="n">
        <v>-114.18</v>
      </c>
      <c r="F45" s="20" t="n">
        <v>-242.42</v>
      </c>
      <c r="G45" s="20" t="n">
        <v>6.192</v>
      </c>
      <c r="H45" s="7" t="n">
        <v>0.73046</v>
      </c>
      <c r="I45" s="5" t="inlineStr">
        <is>
          <t>ELR07</t>
        </is>
      </c>
      <c r="J45" s="20" t="n">
        <v>-237.13</v>
      </c>
      <c r="K45" s="20" t="n">
        <v>31.561</v>
      </c>
      <c r="L45" s="7" t="n">
        <v>0.69007</v>
      </c>
      <c r="M45" s="5" t="inlineStr">
        <is>
          <t>ELR05</t>
        </is>
      </c>
      <c r="N45" s="20" t="n">
        <v>71.084</v>
      </c>
      <c r="O45" s="20" t="n">
        <v>98.64</v>
      </c>
      <c r="P45" s="20" t="n">
        <v>949.5</v>
      </c>
      <c r="Q45" s="20" t="n">
        <v>397.73</v>
      </c>
      <c r="R45" s="7" t="n">
        <v>0.17873</v>
      </c>
      <c r="S45" s="21" t="n">
        <v>0.739</v>
      </c>
      <c r="T45" s="21" t="n">
        <v>0.722</v>
      </c>
    </row>
    <row r="46">
      <c r="A46" s="5" t="inlineStr">
        <is>
          <t>P18</t>
        </is>
      </c>
      <c r="B46" s="5" t="inlineStr">
        <is>
          <t>tierra</t>
        </is>
      </c>
      <c r="C46" s="5" t="inlineStr">
        <is>
          <t>Arranque</t>
        </is>
      </c>
      <c r="D46" s="5" t="inlineStr">
        <is>
          <t>ELR05</t>
        </is>
      </c>
      <c r="E46" s="20" t="n">
        <v>-114.18</v>
      </c>
      <c r="F46" s="20" t="n">
        <v>-242.42</v>
      </c>
      <c r="G46" s="20" t="n">
        <v>6.192</v>
      </c>
      <c r="H46" s="7" t="n">
        <v>0.72403</v>
      </c>
      <c r="I46" s="5" t="inlineStr">
        <is>
          <t>ELR07</t>
        </is>
      </c>
      <c r="J46" s="20" t="n">
        <v>-237.13</v>
      </c>
      <c r="K46" s="20" t="n">
        <v>31.561</v>
      </c>
      <c r="L46" s="7" t="n">
        <v>0.6838</v>
      </c>
      <c r="M46" s="5" t="inlineStr">
        <is>
          <t>ELR05</t>
        </is>
      </c>
      <c r="N46" s="20" t="n">
        <v>71.084</v>
      </c>
      <c r="O46" s="20" t="n">
        <v>98.917</v>
      </c>
      <c r="P46" s="20" t="n">
        <v>953.1</v>
      </c>
      <c r="Q46" s="20" t="n">
        <v>98.917</v>
      </c>
      <c r="R46" s="7" t="n">
        <v>0.71863</v>
      </c>
      <c r="S46" s="21" t="n">
        <v>0.733</v>
      </c>
      <c r="T46" s="21" t="n">
        <v>0.07099999999999999</v>
      </c>
    </row>
    <row r="48">
      <c r="A48" s="13" t="inlineStr">
        <is>
          <t>η N-M 2º orden máximo por pilote y base / modo (tabla del gráfico)</t>
        </is>
      </c>
    </row>
    <row r="49" ht="32" customHeight="1">
      <c r="A49" s="4" t="inlineStr">
        <is>
          <t>Pilote</t>
        </is>
      </c>
      <c r="B49" s="4" t="inlineStr">
        <is>
          <t>η 2º CYPE/cype</t>
        </is>
      </c>
      <c r="C49" s="4" t="inlineStr">
        <is>
          <t>η 2º CYPE/codigo</t>
        </is>
      </c>
      <c r="D49" s="4" t="inlineStr">
        <is>
          <t>η 2º ROM/codigo</t>
        </is>
      </c>
      <c r="E49" s="4" t="inlineStr">
        <is>
          <t>η 1er ROM/codigo</t>
        </is>
      </c>
      <c r="F49" s="4" t="inlineStr">
        <is>
          <t>η cortante ROM/codigo</t>
        </is>
      </c>
      <c r="G49" s="4" t="inlineStr">
        <is>
          <t>Límite η = 1</t>
        </is>
      </c>
    </row>
    <row r="50">
      <c r="A50" s="5" t="inlineStr">
        <is>
          <t>P1 (m1)</t>
        </is>
      </c>
      <c r="B50" s="7" t="n">
        <v>0.87219</v>
      </c>
      <c r="C50" s="7" t="n">
        <v>0.8821</v>
      </c>
      <c r="D50" s="7" t="n">
        <v>0.91918</v>
      </c>
      <c r="E50" s="7" t="n">
        <v>0.7188600000000001</v>
      </c>
      <c r="F50" s="7" t="n">
        <v>0.55999</v>
      </c>
      <c r="G50" s="21" t="n">
        <v>1</v>
      </c>
    </row>
    <row r="51">
      <c r="A51" s="5" t="inlineStr">
        <is>
          <t>P3 (m2)</t>
        </is>
      </c>
      <c r="B51" s="7" t="n">
        <v>0.92019</v>
      </c>
      <c r="C51" s="7" t="n">
        <v>0.93335</v>
      </c>
      <c r="D51" s="11" t="n">
        <v>0.98746</v>
      </c>
      <c r="E51" s="7" t="n">
        <v>0.69475</v>
      </c>
      <c r="F51" s="7" t="n">
        <v>0.53848</v>
      </c>
      <c r="G51" s="21" t="n">
        <v>1</v>
      </c>
    </row>
    <row r="52">
      <c r="A52" s="5" t="inlineStr">
        <is>
          <t>P5 (m3)</t>
        </is>
      </c>
      <c r="B52" s="7" t="n">
        <v>0.86534</v>
      </c>
      <c r="C52" s="7" t="n">
        <v>0.8785500000000001</v>
      </c>
      <c r="D52" s="7" t="n">
        <v>0.91514</v>
      </c>
      <c r="E52" s="7" t="n">
        <v>0.65165</v>
      </c>
      <c r="F52" s="7" t="n">
        <v>0.51512</v>
      </c>
      <c r="G52" s="21" t="n">
        <v>1</v>
      </c>
    </row>
    <row r="53">
      <c r="A53" s="5" t="inlineStr">
        <is>
          <t>P7 (m4)</t>
        </is>
      </c>
      <c r="B53" s="7" t="n">
        <v>0.86555</v>
      </c>
      <c r="C53" s="7" t="n">
        <v>0.87825</v>
      </c>
      <c r="D53" s="7" t="n">
        <v>0.92353</v>
      </c>
      <c r="E53" s="7" t="n">
        <v>0.66292</v>
      </c>
      <c r="F53" s="7" t="n">
        <v>0.52412</v>
      </c>
      <c r="G53" s="21" t="n">
        <v>1</v>
      </c>
    </row>
    <row r="54">
      <c r="A54" s="5" t="inlineStr">
        <is>
          <t>P13 (m5)</t>
        </is>
      </c>
      <c r="B54" s="7" t="n">
        <v>0.84217</v>
      </c>
      <c r="C54" s="7" t="n">
        <v>0.8551</v>
      </c>
      <c r="D54" s="7" t="n">
        <v>0.89266</v>
      </c>
      <c r="E54" s="7" t="n">
        <v>0.62995</v>
      </c>
      <c r="F54" s="7" t="n">
        <v>0.49914</v>
      </c>
      <c r="G54" s="21" t="n">
        <v>1</v>
      </c>
    </row>
    <row r="55">
      <c r="A55" s="5" t="inlineStr">
        <is>
          <t>P15 (m6)</t>
        </is>
      </c>
      <c r="B55" s="7" t="n">
        <v>0.86848</v>
      </c>
      <c r="C55" s="7" t="n">
        <v>0.88119</v>
      </c>
      <c r="D55" s="7" t="n">
        <v>0.93665</v>
      </c>
      <c r="E55" s="7" t="n">
        <v>0.6495</v>
      </c>
      <c r="F55" s="7" t="n">
        <v>0.50646</v>
      </c>
      <c r="G55" s="21" t="n">
        <v>1</v>
      </c>
    </row>
    <row r="56">
      <c r="A56" s="5" t="inlineStr">
        <is>
          <t>P16 (m7)</t>
        </is>
      </c>
      <c r="B56" s="7" t="n">
        <v>0.79538</v>
      </c>
      <c r="C56" s="7" t="n">
        <v>0.8042899999999999</v>
      </c>
      <c r="D56" s="7" t="n">
        <v>0.84282</v>
      </c>
      <c r="E56" s="7" t="n">
        <v>0.65869</v>
      </c>
      <c r="F56" s="7" t="n">
        <v>0.51934</v>
      </c>
      <c r="G56" s="21" t="n">
        <v>1</v>
      </c>
    </row>
    <row r="57">
      <c r="A57" s="5" t="inlineStr">
        <is>
          <t>P2 (t1)</t>
        </is>
      </c>
      <c r="B57" s="5" t="n"/>
      <c r="C57" s="7" t="n">
        <v>0.7766999999999999</v>
      </c>
      <c r="D57" s="7" t="n">
        <v>0.77359</v>
      </c>
      <c r="E57" s="7" t="n">
        <v>0.8146600000000001</v>
      </c>
      <c r="F57" s="7" t="n">
        <v>0.81373</v>
      </c>
      <c r="G57" s="21" t="n">
        <v>1</v>
      </c>
    </row>
    <row r="58">
      <c r="A58" s="5" t="inlineStr">
        <is>
          <t>P4 (t2)</t>
        </is>
      </c>
      <c r="B58" s="7" t="n">
        <v>0.44742</v>
      </c>
      <c r="C58" s="7" t="n">
        <v>0.67424</v>
      </c>
      <c r="D58" s="7" t="n">
        <v>0.63796</v>
      </c>
      <c r="E58" s="7" t="n">
        <v>0.7635999999999999</v>
      </c>
      <c r="F58" s="7" t="n">
        <v>0.73427</v>
      </c>
      <c r="G58" s="21" t="n">
        <v>1</v>
      </c>
    </row>
    <row r="59">
      <c r="A59" s="5" t="inlineStr">
        <is>
          <t>P6 (t3)</t>
        </is>
      </c>
      <c r="B59" s="7" t="n">
        <v>0.25466</v>
      </c>
      <c r="C59" s="7" t="n">
        <v>0.67958</v>
      </c>
      <c r="D59" s="7" t="n">
        <v>0.6461</v>
      </c>
      <c r="E59" s="7" t="n">
        <v>0.7628200000000001</v>
      </c>
      <c r="F59" s="7" t="n">
        <v>0.745</v>
      </c>
      <c r="G59" s="21" t="n">
        <v>1</v>
      </c>
    </row>
    <row r="60">
      <c r="A60" s="5" t="inlineStr">
        <is>
          <t>P8 (t4)</t>
        </is>
      </c>
      <c r="B60" s="7" t="n">
        <v>0.42031</v>
      </c>
      <c r="C60" s="7" t="n">
        <v>0.65452</v>
      </c>
      <c r="D60" s="7" t="n">
        <v>0.62016</v>
      </c>
      <c r="E60" s="7" t="n">
        <v>0.73943</v>
      </c>
      <c r="F60" s="7" t="n">
        <v>0.71089</v>
      </c>
      <c r="G60" s="21" t="n">
        <v>1</v>
      </c>
    </row>
    <row r="61">
      <c r="A61" s="5" t="inlineStr">
        <is>
          <t>P14 (t5)</t>
        </is>
      </c>
      <c r="B61" s="7" t="n">
        <v>0.25466</v>
      </c>
      <c r="C61" s="7" t="n">
        <v>0.65124</v>
      </c>
      <c r="D61" s="7" t="n">
        <v>0.61785</v>
      </c>
      <c r="E61" s="7" t="n">
        <v>0.73497</v>
      </c>
      <c r="F61" s="7" t="n">
        <v>0.7143699999999999</v>
      </c>
      <c r="G61" s="21" t="n">
        <v>1</v>
      </c>
    </row>
    <row r="62">
      <c r="A62" s="5" t="inlineStr">
        <is>
          <t>P17 (t6)</t>
        </is>
      </c>
      <c r="B62" s="7" t="n">
        <v>0.42581</v>
      </c>
      <c r="C62" s="7" t="n">
        <v>0.6211100000000001</v>
      </c>
      <c r="D62" s="7" t="n">
        <v>0.58499</v>
      </c>
      <c r="E62" s="7" t="n">
        <v>0.71003</v>
      </c>
      <c r="F62" s="7" t="n">
        <v>0.67477</v>
      </c>
      <c r="G62" s="21" t="n">
        <v>1</v>
      </c>
    </row>
    <row r="63">
      <c r="A63" s="5" t="inlineStr">
        <is>
          <t>P18 (t7)</t>
        </is>
      </c>
      <c r="B63" s="5" t="n"/>
      <c r="C63" s="7" t="n">
        <v>0.69314</v>
      </c>
      <c r="D63" s="7" t="n">
        <v>0.69007</v>
      </c>
      <c r="E63" s="7" t="n">
        <v>0.73046</v>
      </c>
      <c r="F63" s="7" t="n">
        <v>0.71863</v>
      </c>
      <c r="G63" s="21" t="n">
        <v>1</v>
      </c>
    </row>
    <row r="64">
      <c r="A64" t="inlineStr">
        <is>
          <t>Celdas vacías: sin comprobación de 2º orden en ese modo (λ ≤ λlim en todas las combinaciones, pilotes traccionados).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8" customWidth="1" min="1" max="1"/>
    <col width="13.7" customWidth="1" min="2" max="2"/>
    <col width="10" customWidth="1" min="3" max="3"/>
    <col width="18.2" customWidth="1" min="4" max="4"/>
    <col width="20.9" customWidth="1" min="5" max="5"/>
    <col width="16.4" customWidth="1" min="6" max="6"/>
    <col width="18.2" customWidth="1" min="7" max="7"/>
    <col width="16.4" customWidth="1" min="8" max="8"/>
    <col width="21.8" customWidth="1" min="9" max="9"/>
    <col width="22" customWidth="1" min="10" max="10"/>
    <col width="26" customWidth="1" min="11" max="11"/>
    <col width="19.1" customWidth="1" min="12" max="12"/>
  </cols>
  <sheetData>
    <row r="1">
      <c r="A1" s="1" t="inlineStr">
        <is>
          <t>Pilotes: armadura longitudinal necesaria frente a dispuesta (N-M 1er y 2º orden, base ROM)</t>
        </is>
      </c>
    </row>
    <row r="2">
      <c r="A2" s="2" t="inlineStr">
        <is>
          <t>Misma disposición de 12 barras, área escalada; As,máx = 0.04·Ac = 64 cm² (A19.9.5.2(3)); práctica = disposición comercial mínima que cubre As,nec en ese pilote.</t>
        </is>
      </c>
    </row>
    <row r="4" ht="32" customHeight="1">
      <c r="A4" s="4" t="inlineStr">
        <is>
          <t>Pilote</t>
        </is>
      </c>
      <c r="B4" s="4" t="inlineStr">
        <is>
          <t>Sección fuste</t>
        </is>
      </c>
      <c r="C4" s="4" t="inlineStr">
        <is>
          <t>Combo</t>
        </is>
      </c>
      <c r="D4" s="4" t="inlineStr">
        <is>
          <t>As,nec fuste (cm²)</t>
        </is>
      </c>
      <c r="E4" s="4" t="inlineStr">
        <is>
          <t>As,nec arranque (cm²)</t>
        </is>
      </c>
      <c r="F4" s="4" t="inlineStr">
        <is>
          <t>As,nec máx (cm²)</t>
        </is>
      </c>
      <c r="G4" s="4" t="inlineStr">
        <is>
          <t>As dispuesta (cm²)</t>
        </is>
      </c>
      <c r="H4" s="4" t="inlineStr">
        <is>
          <t>As,nec / As,disp</t>
        </is>
      </c>
      <c r="I4" s="4" t="inlineStr">
        <is>
          <t>η con As dispuesta</t>
        </is>
      </c>
      <c r="J4" s="4" t="inlineStr">
        <is>
          <t>Disposición práctica</t>
        </is>
      </c>
      <c r="K4" s="4" t="inlineStr">
        <is>
          <t>As práctica (cm²)</t>
        </is>
      </c>
      <c r="L4" s="4" t="inlineStr">
        <is>
          <t>As,máx 0.04Ac (cm²)</t>
        </is>
      </c>
    </row>
    <row r="5">
      <c r="A5" s="5" t="inlineStr">
        <is>
          <t>P1 (m1)</t>
        </is>
      </c>
      <c r="B5" s="5" t="inlineStr">
        <is>
          <t>Cabeza</t>
        </is>
      </c>
      <c r="C5" s="5" t="inlineStr">
        <is>
          <t>ELR08</t>
        </is>
      </c>
      <c r="D5" s="22" t="n">
        <v>52.546</v>
      </c>
      <c r="E5" s="22" t="n">
        <v>50.502</v>
      </c>
      <c r="F5" s="22" t="n">
        <v>52.546</v>
      </c>
      <c r="G5" s="22" t="n">
        <v>58.905</v>
      </c>
      <c r="H5" s="7" t="n">
        <v>0.8920465155759273</v>
      </c>
      <c r="I5" s="7" t="n">
        <v>0.92062</v>
      </c>
      <c r="J5" s="5" t="inlineStr">
        <is>
          <t>12Ø25 Ø8 c/15</t>
        </is>
      </c>
      <c r="K5" s="22" t="n">
        <v>58.905</v>
      </c>
      <c r="L5" s="20" t="n">
        <v>64</v>
      </c>
    </row>
    <row r="6">
      <c r="A6" s="5" t="inlineStr">
        <is>
          <t>P3 (m2)</t>
        </is>
      </c>
      <c r="B6" s="5" t="inlineStr">
        <is>
          <t>Cabeza</t>
        </is>
      </c>
      <c r="C6" s="5" t="inlineStr">
        <is>
          <t>ELR08</t>
        </is>
      </c>
      <c r="D6" s="22" t="n">
        <v>58.427</v>
      </c>
      <c r="E6" s="22" t="n">
        <v>54.963</v>
      </c>
      <c r="F6" s="22" t="n">
        <v>58.427</v>
      </c>
      <c r="G6" s="22" t="n">
        <v>58.905</v>
      </c>
      <c r="H6" s="11" t="n">
        <v>0.9918852389440624</v>
      </c>
      <c r="I6" s="11" t="n">
        <v>0.9878</v>
      </c>
      <c r="J6" s="5" t="inlineStr">
        <is>
          <t>12Ø25 Ø8 c/15</t>
        </is>
      </c>
      <c r="K6" s="22" t="n">
        <v>58.905</v>
      </c>
      <c r="L6" s="20" t="n">
        <v>64</v>
      </c>
    </row>
    <row r="7">
      <c r="A7" s="5" t="inlineStr">
        <is>
          <t>P5 (m3)</t>
        </is>
      </c>
      <c r="B7" s="5" t="inlineStr">
        <is>
          <t>Cabeza</t>
        </is>
      </c>
      <c r="C7" s="5" t="inlineStr">
        <is>
          <t>ELR08</t>
        </is>
      </c>
      <c r="D7" s="22" t="n">
        <v>52.052</v>
      </c>
      <c r="E7" s="22" t="n">
        <v>50.986</v>
      </c>
      <c r="F7" s="22" t="n">
        <v>52.052</v>
      </c>
      <c r="G7" s="22" t="n">
        <v>58.905</v>
      </c>
      <c r="H7" s="7" t="n">
        <v>0.8836601307189542</v>
      </c>
      <c r="I7" s="7" t="n">
        <v>0.91655</v>
      </c>
      <c r="J7" s="5" t="inlineStr">
        <is>
          <t>12Ø25 Ø8 c/15</t>
        </is>
      </c>
      <c r="K7" s="22" t="n">
        <v>58.905</v>
      </c>
      <c r="L7" s="20" t="n">
        <v>64</v>
      </c>
    </row>
    <row r="8">
      <c r="A8" s="5" t="inlineStr">
        <is>
          <t>P7 (m4)</t>
        </is>
      </c>
      <c r="B8" s="5" t="inlineStr">
        <is>
          <t>Cabeza</t>
        </is>
      </c>
      <c r="C8" s="5" t="inlineStr">
        <is>
          <t>ELR08</t>
        </is>
      </c>
      <c r="D8" s="22" t="n">
        <v>52.711</v>
      </c>
      <c r="E8" s="22" t="n">
        <v>50.945</v>
      </c>
      <c r="F8" s="22" t="n">
        <v>52.711</v>
      </c>
      <c r="G8" s="22" t="n">
        <v>58.905</v>
      </c>
      <c r="H8" s="7" t="n">
        <v>0.8948476360241066</v>
      </c>
      <c r="I8" s="7" t="n">
        <v>0.92478</v>
      </c>
      <c r="J8" s="5" t="inlineStr">
        <is>
          <t>12Ø25 Ø8 c/15</t>
        </is>
      </c>
      <c r="K8" s="22" t="n">
        <v>58.905</v>
      </c>
      <c r="L8" s="20" t="n">
        <v>64</v>
      </c>
    </row>
    <row r="9">
      <c r="A9" s="5" t="inlineStr">
        <is>
          <t>P13 (m5)</t>
        </is>
      </c>
      <c r="B9" s="5" t="inlineStr">
        <is>
          <t>Cabeza</t>
        </is>
      </c>
      <c r="C9" s="5" t="inlineStr">
        <is>
          <t>ELR08</t>
        </is>
      </c>
      <c r="D9" s="22" t="n">
        <v>50.243</v>
      </c>
      <c r="E9" s="22" t="n">
        <v>49.065</v>
      </c>
      <c r="F9" s="22" t="n">
        <v>50.243</v>
      </c>
      <c r="G9" s="22" t="n">
        <v>58.905</v>
      </c>
      <c r="H9" s="7" t="n">
        <v>0.8529496647143706</v>
      </c>
      <c r="I9" s="7" t="n">
        <v>0.89411</v>
      </c>
      <c r="J9" s="5" t="inlineStr">
        <is>
          <t>16Ø20 Ø8 c/15</t>
        </is>
      </c>
      <c r="K9" s="22" t="n">
        <v>50.265</v>
      </c>
      <c r="L9" s="20" t="n">
        <v>64</v>
      </c>
    </row>
    <row r="10">
      <c r="A10" s="5" t="inlineStr">
        <is>
          <t>P15 (m6)</t>
        </is>
      </c>
      <c r="B10" s="5" t="inlineStr">
        <is>
          <t>Cabeza</t>
        </is>
      </c>
      <c r="C10" s="5" t="inlineStr">
        <is>
          <t>ELR08</t>
        </is>
      </c>
      <c r="D10" s="22" t="n">
        <v>53.6</v>
      </c>
      <c r="E10" s="22" t="n">
        <v>50.63</v>
      </c>
      <c r="F10" s="22" t="n">
        <v>53.6</v>
      </c>
      <c r="G10" s="22" t="n">
        <v>58.905</v>
      </c>
      <c r="H10" s="7" t="n">
        <v>0.9099397334691453</v>
      </c>
      <c r="I10" s="7" t="n">
        <v>0.93794</v>
      </c>
      <c r="J10" s="5" t="inlineStr">
        <is>
          <t>12Ø25 Ø8 c/15</t>
        </is>
      </c>
      <c r="K10" s="22" t="n">
        <v>58.905</v>
      </c>
      <c r="L10" s="20" t="n">
        <v>64</v>
      </c>
    </row>
    <row r="11">
      <c r="A11" s="5" t="inlineStr">
        <is>
          <t>P16 (m7)</t>
        </is>
      </c>
      <c r="B11" s="5" t="inlineStr">
        <is>
          <t>Cabeza</t>
        </is>
      </c>
      <c r="C11" s="5" t="inlineStr">
        <is>
          <t>ELR08</t>
        </is>
      </c>
      <c r="D11" s="22" t="n">
        <v>46.16</v>
      </c>
      <c r="E11" s="22" t="n">
        <v>44.058</v>
      </c>
      <c r="F11" s="22" t="n">
        <v>46.16</v>
      </c>
      <c r="G11" s="22" t="n">
        <v>58.905</v>
      </c>
      <c r="H11" s="7" t="n">
        <v>0.7836346659876071</v>
      </c>
      <c r="I11" s="7" t="n">
        <v>0.84496</v>
      </c>
      <c r="J11" s="5" t="inlineStr">
        <is>
          <t>16Ø20 Ø8 c/15</t>
        </is>
      </c>
      <c r="K11" s="22" t="n">
        <v>50.265</v>
      </c>
      <c r="L11" s="20" t="n">
        <v>64</v>
      </c>
    </row>
    <row r="12">
      <c r="A12" s="5" t="inlineStr">
        <is>
          <t>P2 (t1)</t>
        </is>
      </c>
      <c r="B12" s="5" t="inlineStr">
        <is>
          <t>Pie</t>
        </is>
      </c>
      <c r="C12" s="5" t="inlineStr">
        <is>
          <t>ELR05</t>
        </is>
      </c>
      <c r="D12" s="22" t="n">
        <v>45.835</v>
      </c>
      <c r="E12" s="22" t="n">
        <v>45.458</v>
      </c>
      <c r="F12" s="22" t="n">
        <v>45.835</v>
      </c>
      <c r="G12" s="22" t="n">
        <v>58.905</v>
      </c>
      <c r="H12" s="7" t="n">
        <v>0.7781173075290723</v>
      </c>
      <c r="I12" s="7" t="n">
        <v>0.81569</v>
      </c>
      <c r="J12" s="5" t="inlineStr">
        <is>
          <t>16Ø20 Ø8 c/15</t>
        </is>
      </c>
      <c r="K12" s="22" t="n">
        <v>50.265</v>
      </c>
      <c r="L12" s="20" t="n">
        <v>64</v>
      </c>
    </row>
    <row r="13">
      <c r="A13" s="5" t="inlineStr">
        <is>
          <t>P4 (t2)</t>
        </is>
      </c>
      <c r="B13" s="5" t="inlineStr">
        <is>
          <t>Pie</t>
        </is>
      </c>
      <c r="C13" s="5" t="inlineStr">
        <is>
          <t>ELR05</t>
        </is>
      </c>
      <c r="D13" s="22" t="n">
        <v>42.705</v>
      </c>
      <c r="E13" s="22" t="n">
        <v>42.426</v>
      </c>
      <c r="F13" s="22" t="n">
        <v>42.705</v>
      </c>
      <c r="G13" s="22" t="n">
        <v>58.905</v>
      </c>
      <c r="H13" s="7" t="n">
        <v>0.7249809014514896</v>
      </c>
      <c r="I13" s="7" t="n">
        <v>0.7645</v>
      </c>
      <c r="J13" s="5" t="inlineStr">
        <is>
          <t>16Ø20 Ø8 c/15</t>
        </is>
      </c>
      <c r="K13" s="22" t="n">
        <v>50.265</v>
      </c>
      <c r="L13" s="20" t="n">
        <v>64</v>
      </c>
    </row>
    <row r="14">
      <c r="A14" s="5" t="inlineStr">
        <is>
          <t>P6 (t3)</t>
        </is>
      </c>
      <c r="B14" s="5" t="inlineStr">
        <is>
          <t>Pie</t>
        </is>
      </c>
      <c r="C14" s="5" t="inlineStr">
        <is>
          <t>ELR05</t>
        </is>
      </c>
      <c r="D14" s="22" t="n">
        <v>42.752</v>
      </c>
      <c r="E14" s="22" t="n">
        <v>42.483</v>
      </c>
      <c r="F14" s="22" t="n">
        <v>42.752</v>
      </c>
      <c r="G14" s="22" t="n">
        <v>58.905</v>
      </c>
      <c r="H14" s="7" t="n">
        <v>0.7257787963670317</v>
      </c>
      <c r="I14" s="7" t="n">
        <v>0.76398</v>
      </c>
      <c r="J14" s="5" t="inlineStr">
        <is>
          <t>16Ø20 Ø8 c/15</t>
        </is>
      </c>
      <c r="K14" s="22" t="n">
        <v>50.265</v>
      </c>
      <c r="L14" s="20" t="n">
        <v>64</v>
      </c>
    </row>
    <row r="15">
      <c r="A15" s="5" t="inlineStr">
        <is>
          <t>P8 (t4)</t>
        </is>
      </c>
      <c r="B15" s="5" t="inlineStr">
        <is>
          <t>Pie</t>
        </is>
      </c>
      <c r="C15" s="5" t="inlineStr">
        <is>
          <t>ELR05</t>
        </is>
      </c>
      <c r="D15" s="22" t="n">
        <v>41.192</v>
      </c>
      <c r="E15" s="22" t="n">
        <v>40.914</v>
      </c>
      <c r="F15" s="22" t="n">
        <v>41.192</v>
      </c>
      <c r="G15" s="22" t="n">
        <v>58.905</v>
      </c>
      <c r="H15" s="7" t="n">
        <v>0.699295475766064</v>
      </c>
      <c r="I15" s="7" t="n">
        <v>0.74035</v>
      </c>
      <c r="J15" s="5" t="inlineStr">
        <is>
          <t>16Ø20 Ø8 c/15</t>
        </is>
      </c>
      <c r="K15" s="22" t="n">
        <v>50.265</v>
      </c>
      <c r="L15" s="20" t="n">
        <v>64</v>
      </c>
    </row>
    <row r="16">
      <c r="A16" s="5" t="inlineStr">
        <is>
          <t>P14 (t5)</t>
        </is>
      </c>
      <c r="B16" s="5" t="inlineStr">
        <is>
          <t>Pie</t>
        </is>
      </c>
      <c r="C16" s="5" t="inlineStr">
        <is>
          <t>ELR05</t>
        </is>
      </c>
      <c r="D16" s="22" t="n">
        <v>40.986</v>
      </c>
      <c r="E16" s="22" t="n">
        <v>40.713</v>
      </c>
      <c r="F16" s="22" t="n">
        <v>40.986</v>
      </c>
      <c r="G16" s="22" t="n">
        <v>58.905</v>
      </c>
      <c r="H16" s="7" t="n">
        <v>0.6957983193277311</v>
      </c>
      <c r="I16" s="7" t="n">
        <v>0.73609</v>
      </c>
      <c r="J16" s="5" t="inlineStr">
        <is>
          <t>16Ø20 Ø8 c/15</t>
        </is>
      </c>
      <c r="K16" s="22" t="n">
        <v>50.265</v>
      </c>
      <c r="L16" s="20" t="n">
        <v>64</v>
      </c>
    </row>
    <row r="17">
      <c r="A17" s="5" t="inlineStr">
        <is>
          <t>P17 (t6)</t>
        </is>
      </c>
      <c r="B17" s="5" t="inlineStr">
        <is>
          <t>Pie</t>
        </is>
      </c>
      <c r="C17" s="5" t="inlineStr">
        <is>
          <t>ELR05</t>
        </is>
      </c>
      <c r="D17" s="22" t="n">
        <v>39.09</v>
      </c>
      <c r="E17" s="22" t="n">
        <v>38.805</v>
      </c>
      <c r="F17" s="22" t="n">
        <v>39.09</v>
      </c>
      <c r="G17" s="22" t="n">
        <v>58.905</v>
      </c>
      <c r="H17" s="7" t="n">
        <v>0.6636108989050166</v>
      </c>
      <c r="I17" s="7" t="n">
        <v>0.71069</v>
      </c>
      <c r="J17" s="5" t="inlineStr">
        <is>
          <t>8Ø25 Ø8 c/15</t>
        </is>
      </c>
      <c r="K17" s="22" t="n">
        <v>39.27</v>
      </c>
      <c r="L17" s="20" t="n">
        <v>64</v>
      </c>
    </row>
    <row r="18">
      <c r="A18" s="5" t="inlineStr">
        <is>
          <t>P18 (t7)</t>
        </is>
      </c>
      <c r="B18" s="5" t="inlineStr">
        <is>
          <t>Pie</t>
        </is>
      </c>
      <c r="C18" s="5" t="inlineStr">
        <is>
          <t>ELR05</t>
        </is>
      </c>
      <c r="D18" s="22" t="n">
        <v>40.654</v>
      </c>
      <c r="E18" s="22" t="n">
        <v>40.37</v>
      </c>
      <c r="F18" s="22" t="n">
        <v>40.654</v>
      </c>
      <c r="G18" s="22" t="n">
        <v>58.905</v>
      </c>
      <c r="H18" s="7" t="n">
        <v>0.6901621254562431</v>
      </c>
      <c r="I18" s="7" t="n">
        <v>0.73144</v>
      </c>
      <c r="J18" s="5" t="inlineStr">
        <is>
          <t>20Ø16 Ø8 c/12.5</t>
        </is>
      </c>
      <c r="K18" s="22" t="n">
        <v>40.212</v>
      </c>
      <c r="L18" s="20" t="n">
        <v>64</v>
      </c>
    </row>
    <row r="20">
      <c r="A20" s="13" t="inlineStr">
        <is>
          <t>Disposiciones alternativas evaluadas (pilote uniforme, envolvente de los 14 pilotes)</t>
        </is>
      </c>
    </row>
    <row r="21" ht="32" customHeight="1">
      <c r="A21" s="4" t="inlineStr">
        <is>
          <t>Disposición</t>
        </is>
      </c>
      <c r="B21" s="4" t="inlineStr">
        <is>
          <t>Cercos</t>
        </is>
      </c>
      <c r="C21" s="4" t="inlineStr">
        <is>
          <t>As (cm²)</t>
        </is>
      </c>
      <c r="D21" s="4" t="inlineStr">
        <is>
          <t>kg/m</t>
        </is>
      </c>
      <c r="E21" s="4" t="inlineStr">
        <is>
          <t>η N-M</t>
        </is>
      </c>
      <c r="F21" s="4" t="inlineStr">
        <is>
          <t>η cortante</t>
        </is>
      </c>
      <c r="G21" s="4" t="inlineStr">
        <is>
          <t>η disposiciones</t>
        </is>
      </c>
      <c r="H21" s="4" t="inlineStr">
        <is>
          <t>η fisuración QP</t>
        </is>
      </c>
      <c r="I21" s="4" t="inlineStr">
        <is>
          <t>η fisuración ψ2,TB 0.5</t>
        </is>
      </c>
      <c r="J21" s="4" t="inlineStr">
        <is>
          <t>σc/0.6fck (Ecm)</t>
        </is>
      </c>
      <c r="K21" s="4" t="inlineStr">
        <is>
          <t>Estado</t>
        </is>
      </c>
      <c r="L21" s="4" t="inlineStr">
        <is>
          <t>No cumple</t>
        </is>
      </c>
    </row>
    <row r="22">
      <c r="A22" s="5" t="inlineStr">
        <is>
          <t>12Ø25 (provided)</t>
        </is>
      </c>
      <c r="B22" s="5" t="inlineStr">
        <is>
          <t>2eØ10+1eØ10 c/15</t>
        </is>
      </c>
      <c r="C22" s="22" t="n">
        <v>58.905</v>
      </c>
      <c r="D22" s="22" t="n">
        <v>60.215</v>
      </c>
      <c r="E22" s="11" t="n">
        <v>0.98746</v>
      </c>
      <c r="F22" s="7" t="n">
        <v>0.81373</v>
      </c>
      <c r="G22" s="7" t="n">
        <v>0.92039</v>
      </c>
      <c r="H22" s="7" t="n">
        <v>0.76431</v>
      </c>
      <c r="I22" s="8" t="n">
        <v>1.525</v>
      </c>
      <c r="J22" s="8" t="n">
        <v>1.109</v>
      </c>
      <c r="K22" s="5" t="inlineStr">
        <is>
          <t>no cumple</t>
        </is>
      </c>
      <c r="L22" s="5" t="inlineStr">
        <is>
          <t>sls_sigma_c</t>
        </is>
      </c>
    </row>
    <row r="23">
      <c r="A23" s="5" t="inlineStr">
        <is>
          <t>8Ø16</t>
        </is>
      </c>
      <c r="B23" s="5" t="inlineStr">
        <is>
          <t>Ø8 c/12.5</t>
        </is>
      </c>
      <c r="C23" s="22" t="n">
        <v>16.085</v>
      </c>
      <c r="D23" s="22" t="n">
        <v>19.672</v>
      </c>
      <c r="E23" s="5" t="n"/>
      <c r="F23" s="5" t="n"/>
      <c r="G23" s="5" t="n"/>
      <c r="H23" s="5" t="n"/>
      <c r="I23" s="5" t="n"/>
      <c r="J23" s="5" t="n"/>
      <c r="K23" s="5" t="inlineStr">
        <is>
          <t>descartada: As &lt; 0.9·As,nec</t>
        </is>
      </c>
      <c r="L23" s="5" t="inlineStr">
        <is>
          <t>nm</t>
        </is>
      </c>
    </row>
    <row r="24">
      <c r="A24" s="5" t="inlineStr">
        <is>
          <t>8Ø20</t>
        </is>
      </c>
      <c r="B24" s="5" t="inlineStr">
        <is>
          <t>Ø8 c/15</t>
        </is>
      </c>
      <c r="C24" s="22" t="n">
        <v>25.133</v>
      </c>
      <c r="D24" s="22" t="n">
        <v>25.601</v>
      </c>
      <c r="E24" s="5" t="n"/>
      <c r="F24" s="5" t="n"/>
      <c r="G24" s="5" t="n"/>
      <c r="H24" s="5" t="n"/>
      <c r="I24" s="5" t="n"/>
      <c r="J24" s="5" t="n"/>
      <c r="K24" s="5" t="inlineStr">
        <is>
          <t>descartada: As &lt; 0.9·As,nec</t>
        </is>
      </c>
      <c r="L24" s="5" t="inlineStr">
        <is>
          <t>nm</t>
        </is>
      </c>
    </row>
    <row r="25">
      <c r="A25" s="5" t="inlineStr">
        <is>
          <t>8Ø25</t>
        </is>
      </c>
      <c r="B25" s="5" t="inlineStr">
        <is>
          <t>Ø8 c/15</t>
        </is>
      </c>
      <c r="C25" s="22" t="n">
        <v>39.27</v>
      </c>
      <c r="D25" s="22" t="n">
        <v>36.698</v>
      </c>
      <c r="E25" s="5" t="n"/>
      <c r="F25" s="5" t="n"/>
      <c r="G25" s="5" t="n"/>
      <c r="H25" s="5" t="n"/>
      <c r="I25" s="5" t="n"/>
      <c r="J25" s="5" t="n"/>
      <c r="K25" s="5" t="inlineStr">
        <is>
          <t>descartada: As &lt; 0.9·As,nec</t>
        </is>
      </c>
      <c r="L25" s="5" t="inlineStr">
        <is>
          <t>nm</t>
        </is>
      </c>
    </row>
    <row r="26">
      <c r="A26" s="5" t="inlineStr">
        <is>
          <t>8Ø32</t>
        </is>
      </c>
      <c r="B26" s="5" t="inlineStr">
        <is>
          <t>Ø8 c/15</t>
        </is>
      </c>
      <c r="C26" s="22" t="n">
        <v>64.34</v>
      </c>
      <c r="D26" s="22" t="n">
        <v>56.378</v>
      </c>
      <c r="E26" s="7" t="n">
        <v>0.92566</v>
      </c>
      <c r="F26" s="7" t="n">
        <v>0.78998</v>
      </c>
      <c r="G26" s="8" t="n">
        <v>1.005</v>
      </c>
      <c r="H26" s="7" t="n">
        <v>0.74963</v>
      </c>
      <c r="I26" s="8" t="n">
        <v>1.185</v>
      </c>
      <c r="J26" s="8" t="n">
        <v>1.053</v>
      </c>
      <c r="K26" s="5" t="inlineStr">
        <is>
          <t>no cumple</t>
        </is>
      </c>
      <c r="L26" s="5" t="inlineStr">
        <is>
          <t>detailing, sls_sigma_c</t>
        </is>
      </c>
    </row>
    <row r="27">
      <c r="A27" s="5" t="inlineStr">
        <is>
          <t>12Ø16</t>
        </is>
      </c>
      <c r="B27" s="5" t="inlineStr">
        <is>
          <t>Ø8 c/12.5</t>
        </is>
      </c>
      <c r="C27" s="22" t="n">
        <v>24.127</v>
      </c>
      <c r="D27" s="22" t="n">
        <v>29.26</v>
      </c>
      <c r="E27" s="5" t="n"/>
      <c r="F27" s="5" t="n"/>
      <c r="G27" s="5" t="n"/>
      <c r="H27" s="5" t="n"/>
      <c r="I27" s="5" t="n"/>
      <c r="J27" s="5" t="n"/>
      <c r="K27" s="5" t="inlineStr">
        <is>
          <t>descartada: As &lt; 0.9·As,nec</t>
        </is>
      </c>
      <c r="L27" s="5" t="inlineStr">
        <is>
          <t>nm</t>
        </is>
      </c>
    </row>
    <row r="28">
      <c r="A28" s="5" t="inlineStr">
        <is>
          <t>12Ø20</t>
        </is>
      </c>
      <c r="B28" s="5" t="inlineStr">
        <is>
          <t>Ø8 c/15</t>
        </is>
      </c>
      <c r="C28" s="22" t="n">
        <v>37.699</v>
      </c>
      <c r="D28" s="22" t="n">
        <v>38.222</v>
      </c>
      <c r="E28" s="5" t="n"/>
      <c r="F28" s="5" t="n"/>
      <c r="G28" s="5" t="n"/>
      <c r="H28" s="5" t="n"/>
      <c r="I28" s="5" t="n"/>
      <c r="J28" s="5" t="n"/>
      <c r="K28" s="5" t="inlineStr">
        <is>
          <t>descartada: As &lt; 0.9·As,nec</t>
        </is>
      </c>
      <c r="L28" s="5" t="inlineStr">
        <is>
          <t>nm</t>
        </is>
      </c>
    </row>
    <row r="29">
      <c r="A29" s="5" t="inlineStr">
        <is>
          <t>12Ø25</t>
        </is>
      </c>
      <c r="B29" s="5" t="inlineStr">
        <is>
          <t>Ø8 c/15</t>
        </is>
      </c>
      <c r="C29" s="22" t="n">
        <v>58.905</v>
      </c>
      <c r="D29" s="22" t="n">
        <v>54.904</v>
      </c>
      <c r="E29" s="11" t="n">
        <v>0.97531</v>
      </c>
      <c r="F29" s="7" t="n">
        <v>0.81373</v>
      </c>
      <c r="G29" s="7" t="n">
        <v>0.92039</v>
      </c>
      <c r="H29" s="7" t="n">
        <v>0.76027</v>
      </c>
      <c r="I29" s="8" t="n">
        <v>1.491</v>
      </c>
      <c r="J29" s="8" t="n">
        <v>1.096</v>
      </c>
      <c r="K29" s="5" t="inlineStr">
        <is>
          <t>no cumple</t>
        </is>
      </c>
      <c r="L29" s="5" t="inlineStr">
        <is>
          <t>sls_sigma_c</t>
        </is>
      </c>
    </row>
    <row r="30">
      <c r="A30" s="5" t="inlineStr">
        <is>
          <t>12Ø32</t>
        </is>
      </c>
      <c r="B30" s="5" t="inlineStr">
        <is>
          <t>Ø8 c/15</t>
        </is>
      </c>
      <c r="C30" s="22" t="n">
        <v>96.51000000000001</v>
      </c>
      <c r="D30" s="22" t="n">
        <v>84.473</v>
      </c>
      <c r="E30" s="7" t="n">
        <v>0.73681</v>
      </c>
      <c r="F30" s="7" t="n">
        <v>0.81771</v>
      </c>
      <c r="G30" s="8" t="n">
        <v>1.508</v>
      </c>
      <c r="H30" s="7" t="n">
        <v>0.70951</v>
      </c>
      <c r="I30" s="7" t="n">
        <v>0.83196</v>
      </c>
      <c r="J30" s="7" t="n">
        <v>0.90803</v>
      </c>
      <c r="K30" s="5" t="inlineStr">
        <is>
          <t>no cumple</t>
        </is>
      </c>
      <c r="L30" s="5" t="inlineStr">
        <is>
          <t>detailing</t>
        </is>
      </c>
    </row>
    <row r="31">
      <c r="A31" s="5" t="inlineStr">
        <is>
          <t>16Ø16</t>
        </is>
      </c>
      <c r="B31" s="5" t="inlineStr">
        <is>
          <t>Ø8 c/12.5</t>
        </is>
      </c>
      <c r="C31" s="22" t="n">
        <v>32.17</v>
      </c>
      <c r="D31" s="22" t="n">
        <v>38.991</v>
      </c>
      <c r="E31" s="5" t="n"/>
      <c r="F31" s="5" t="n"/>
      <c r="G31" s="5" t="n"/>
      <c r="H31" s="5" t="n"/>
      <c r="I31" s="5" t="n"/>
      <c r="J31" s="5" t="n"/>
      <c r="K31" s="5" t="inlineStr">
        <is>
          <t>descartada: As &lt; 0.9·As,nec</t>
        </is>
      </c>
      <c r="L31" s="5" t="inlineStr">
        <is>
          <t>nm</t>
        </is>
      </c>
    </row>
    <row r="32">
      <c r="A32" s="5" t="inlineStr">
        <is>
          <t>16Ø20</t>
        </is>
      </c>
      <c r="B32" s="5" t="inlineStr">
        <is>
          <t>Ø8 c/15</t>
        </is>
      </c>
      <c r="C32" s="22" t="n">
        <v>50.265</v>
      </c>
      <c r="D32" s="22" t="n">
        <v>50.928</v>
      </c>
      <c r="E32" s="5" t="n"/>
      <c r="F32" s="5" t="n"/>
      <c r="G32" s="5" t="n"/>
      <c r="H32" s="5" t="n"/>
      <c r="I32" s="5" t="n"/>
      <c r="J32" s="5" t="n"/>
      <c r="K32" s="5" t="inlineStr">
        <is>
          <t>descartada: As &lt; 0.9·As,nec</t>
        </is>
      </c>
      <c r="L32" s="5" t="inlineStr">
        <is>
          <t>nm</t>
        </is>
      </c>
    </row>
    <row r="33">
      <c r="A33" s="5" t="inlineStr">
        <is>
          <t>16Ø25</t>
        </is>
      </c>
      <c r="B33" s="5" t="inlineStr">
        <is>
          <t>Ø8 c/15</t>
        </is>
      </c>
      <c r="C33" s="22" t="n">
        <v>78.54000000000001</v>
      </c>
      <c r="D33" s="22" t="n">
        <v>73.149</v>
      </c>
      <c r="E33" s="7" t="n">
        <v>0.82089</v>
      </c>
      <c r="F33" s="7" t="n">
        <v>0.8273</v>
      </c>
      <c r="G33" s="8" t="n">
        <v>1.227</v>
      </c>
      <c r="H33" s="7" t="n">
        <v>0.73111</v>
      </c>
      <c r="I33" s="8" t="n">
        <v>1.043</v>
      </c>
      <c r="J33" s="11" t="n">
        <v>0.98004</v>
      </c>
      <c r="K33" s="5" t="inlineStr">
        <is>
          <t>no cumple</t>
        </is>
      </c>
      <c r="L33" s="5" t="inlineStr">
        <is>
          <t>detailing</t>
        </is>
      </c>
    </row>
    <row r="34">
      <c r="A34" s="5" t="inlineStr">
        <is>
          <t>20Ø16</t>
        </is>
      </c>
      <c r="B34" s="5" t="inlineStr">
        <is>
          <t>Ø8 c/12.5</t>
        </is>
      </c>
      <c r="C34" s="22" t="n">
        <v>40.212</v>
      </c>
      <c r="D34" s="22" t="n">
        <v>49.82</v>
      </c>
      <c r="E34" s="5" t="n"/>
      <c r="F34" s="5" t="n"/>
      <c r="G34" s="5" t="n"/>
      <c r="H34" s="5" t="n"/>
      <c r="I34" s="5" t="n"/>
      <c r="J34" s="5" t="n"/>
      <c r="K34" s="5" t="inlineStr">
        <is>
          <t>descartada: As &lt; 0.9·As,nec</t>
        </is>
      </c>
      <c r="L34" s="5" t="inlineStr">
        <is>
          <t>nm</t>
        </is>
      </c>
    </row>
    <row r="35">
      <c r="A35" s="5" t="inlineStr">
        <is>
          <t>20Ø20</t>
        </is>
      </c>
      <c r="B35" s="5" t="inlineStr">
        <is>
          <t>Ø8 c/15</t>
        </is>
      </c>
      <c r="C35" s="22" t="n">
        <v>62.832</v>
      </c>
      <c r="D35" s="22" t="n">
        <v>64.568</v>
      </c>
      <c r="E35" s="7" t="n">
        <v>0.93948</v>
      </c>
      <c r="F35" s="7" t="n">
        <v>0.83272</v>
      </c>
      <c r="G35" s="11" t="n">
        <v>0.98175</v>
      </c>
      <c r="H35" s="7" t="n">
        <v>0.75292</v>
      </c>
      <c r="I35" s="8" t="n">
        <v>1.42</v>
      </c>
      <c r="J35" s="8" t="n">
        <v>1.065</v>
      </c>
      <c r="K35" s="5" t="inlineStr">
        <is>
          <t>no cumple</t>
        </is>
      </c>
      <c r="L35" s="5" t="inlineStr">
        <is>
          <t>sls_sigma_c</t>
        </is>
      </c>
    </row>
    <row r="36">
      <c r="A36" s="5" t="inlineStr">
        <is>
          <t>20Ø25</t>
        </is>
      </c>
      <c r="B36" s="5" t="inlineStr">
        <is>
          <t>Ø8 c/15</t>
        </is>
      </c>
      <c r="C36" s="22" t="n">
        <v>98.175</v>
      </c>
      <c r="D36" s="22" t="n">
        <v>92.354</v>
      </c>
      <c r="E36" s="7" t="n">
        <v>0.71882</v>
      </c>
      <c r="F36" s="7" t="n">
        <v>0.83528</v>
      </c>
      <c r="G36" s="8" t="n">
        <v>1.534</v>
      </c>
      <c r="H36" s="7" t="n">
        <v>0.70348</v>
      </c>
      <c r="I36" s="7" t="n">
        <v>0.85555</v>
      </c>
      <c r="J36" s="7" t="n">
        <v>0.89297</v>
      </c>
      <c r="K36" s="5" t="inlineStr">
        <is>
          <t>no cumple</t>
        </is>
      </c>
      <c r="L36" s="5" t="inlineStr">
        <is>
          <t>detailing</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cols>
    <col width="10" customWidth="1" min="1" max="1"/>
    <col width="11" customWidth="1" min="2" max="2"/>
    <col width="10.1" customWidth="1" min="3" max="3"/>
    <col width="10.1" customWidth="1" min="4" max="4"/>
    <col width="11" customWidth="1" min="5" max="5"/>
    <col width="17.3" customWidth="1" min="6" max="6"/>
    <col width="10" customWidth="1" min="7" max="7"/>
    <col width="10" customWidth="1" min="8" max="8"/>
    <col width="11" customWidth="1" min="9" max="9"/>
    <col width="10" customWidth="1" min="10" max="10"/>
    <col width="12.8" customWidth="1" min="11" max="11"/>
    <col width="15.5" customWidth="1" min="12" max="12"/>
    <col width="13.7" customWidth="1" min="13" max="13"/>
    <col width="16.4" customWidth="1" min="14" max="14"/>
    <col width="10.1" customWidth="1" min="15" max="15"/>
    <col width="13.7" customWidth="1" min="16" max="16"/>
    <col width="19.1" customWidth="1" min="17" max="17"/>
    <col width="20.9" customWidth="1" min="18" max="18"/>
    <col width="28" customWidth="1" min="19" max="19"/>
    <col width="20.9" customWidth="1" min="20" max="20"/>
    <col width="10" customWidth="1" min="21" max="21"/>
  </cols>
  <sheetData>
    <row r="1">
      <c r="A1" s="1" t="inlineStr">
        <is>
          <t>Pilotes: ELS — fisuración cuasipermanente (XS3, wmax 0.1 mm) y tensiones características</t>
        </is>
      </c>
    </row>
    <row r="2">
      <c r="A2" s="2" t="inlineStr">
        <is>
          <t>Fisuración: η = σct/fctm si no fisura (sección homogeneizada), wk/0.1 si fisura. σc/0.6fck con Ecm (veredicto de pilotes.py) y con Ec,eff = Ecm/(1 + φ·Mqp/Mk) para la parte sostenida (información).</t>
        </is>
      </c>
    </row>
    <row r="4" ht="32" customHeight="1">
      <c r="A4" s="4" t="inlineStr">
        <is>
          <t>Pilote</t>
        </is>
      </c>
      <c r="B4" s="4" t="inlineStr">
        <is>
          <t>Sección QP</t>
        </is>
      </c>
      <c r="C4" s="4" t="inlineStr">
        <is>
          <t>N QP (kN)</t>
        </is>
      </c>
      <c r="D4" s="4" t="inlineStr">
        <is>
          <t>σct (MPa)</t>
        </is>
      </c>
      <c r="E4" s="4" t="inlineStr">
        <is>
          <t>fctm (MPa)</t>
        </is>
      </c>
      <c r="F4" s="4" t="inlineStr">
        <is>
          <t>σct/fctm (ψ2 0.8)</t>
        </is>
      </c>
      <c r="G4" s="4" t="inlineStr">
        <is>
          <t>Fisura</t>
        </is>
      </c>
      <c r="H4" s="4" t="inlineStr">
        <is>
          <t>wk (mm)</t>
        </is>
      </c>
      <c r="I4" s="4" t="inlineStr">
        <is>
          <t>Sección σc</t>
        </is>
      </c>
      <c r="J4" s="4" t="inlineStr">
        <is>
          <t>Combo σc</t>
        </is>
      </c>
      <c r="K4" s="4" t="inlineStr">
        <is>
          <t>σc Ecm (MPa)</t>
        </is>
      </c>
      <c r="L4" s="4" t="inlineStr">
        <is>
          <t>σc Ec,eff (MPa)</t>
        </is>
      </c>
      <c r="M4" s="4" t="inlineStr">
        <is>
          <t>σc/0.6fck Ecm</t>
        </is>
      </c>
      <c r="N4" s="4" t="inlineStr">
        <is>
          <t>σc/0.6fck Ec,eff</t>
        </is>
      </c>
      <c r="O4" s="4" t="inlineStr">
        <is>
          <t>σs/0.8fyk</t>
        </is>
      </c>
      <c r="P4" s="4" t="inlineStr">
        <is>
          <t>σc,qp/0.45fck</t>
        </is>
      </c>
      <c r="Q4" s="4" t="inlineStr">
        <is>
          <t>η fis. ψ2 0.3, TB 0</t>
        </is>
      </c>
      <c r="R4" s="4" t="inlineStr">
        <is>
          <t>η fis. ψ2 0.3, TB 0.5</t>
        </is>
      </c>
      <c r="S4" s="4" t="inlineStr">
        <is>
          <t>η fis. ψ2 0.8, TB 0 (veredicto)</t>
        </is>
      </c>
      <c r="T4" s="4" t="inlineStr">
        <is>
          <t>η fis. ψ2 0.8, TB 0.5</t>
        </is>
      </c>
      <c r="U4" s="4" t="inlineStr">
        <is>
          <t>Límite</t>
        </is>
      </c>
    </row>
    <row r="5">
      <c r="A5" s="5" t="inlineStr">
        <is>
          <t>P1 (m1)</t>
        </is>
      </c>
      <c r="B5" s="5" t="inlineStr">
        <is>
          <t>Cabeza</t>
        </is>
      </c>
      <c r="C5" s="20" t="n">
        <v>153.71</v>
      </c>
      <c r="D5" s="22" t="n">
        <v>3.074</v>
      </c>
      <c r="E5" s="22" t="n">
        <v>4.072</v>
      </c>
      <c r="F5" s="7" t="n">
        <v>0.7549115913555992</v>
      </c>
      <c r="G5" s="5" t="inlineStr">
        <is>
          <t>no</t>
        </is>
      </c>
      <c r="H5" s="21" t="n">
        <v>0</v>
      </c>
      <c r="I5" s="5" t="inlineStr">
        <is>
          <t>Cabeza</t>
        </is>
      </c>
      <c r="J5" s="5" t="inlineStr">
        <is>
          <t>ELS04</t>
        </is>
      </c>
      <c r="K5" s="22" t="n">
        <v>33.275</v>
      </c>
      <c r="L5" s="22" t="n">
        <v>28.981</v>
      </c>
      <c r="M5" s="8" t="n">
        <v>1.109</v>
      </c>
      <c r="N5" s="11" t="n">
        <v>0.9660300000000001</v>
      </c>
      <c r="O5" s="7" t="n">
        <v>0.58671</v>
      </c>
      <c r="P5" s="7" t="n">
        <v>0.87836</v>
      </c>
      <c r="Q5" s="7" t="n">
        <v>0.44613</v>
      </c>
      <c r="R5" s="8" t="n">
        <v>1.41</v>
      </c>
      <c r="S5" s="7" t="n">
        <v>0.75509</v>
      </c>
      <c r="T5" s="8" t="n">
        <v>1.288</v>
      </c>
      <c r="U5" s="21" t="n">
        <v>1</v>
      </c>
    </row>
    <row r="6">
      <c r="A6" s="5" t="inlineStr">
        <is>
          <t>P3 (m2)</t>
        </is>
      </c>
      <c r="B6" s="5" t="inlineStr">
        <is>
          <t>Cabeza</t>
        </is>
      </c>
      <c r="C6" s="20" t="n">
        <v>307.5</v>
      </c>
      <c r="D6" s="22" t="n">
        <v>1.406</v>
      </c>
      <c r="E6" s="22" t="n">
        <v>4.072</v>
      </c>
      <c r="F6" s="7" t="n">
        <v>0.3452848722986247</v>
      </c>
      <c r="G6" s="5" t="inlineStr">
        <is>
          <t>no</t>
        </is>
      </c>
      <c r="H6" s="21" t="n">
        <v>0</v>
      </c>
      <c r="I6" s="5" t="inlineStr">
        <is>
          <t>Cabeza</t>
        </is>
      </c>
      <c r="J6" s="5" t="inlineStr">
        <is>
          <t>ELS04</t>
        </is>
      </c>
      <c r="K6" s="22" t="n">
        <v>30.297</v>
      </c>
      <c r="L6" s="22" t="n">
        <v>27.688</v>
      </c>
      <c r="M6" s="8" t="n">
        <v>1.01</v>
      </c>
      <c r="N6" s="7" t="n">
        <v>0.92292</v>
      </c>
      <c r="O6" s="7" t="n">
        <v>0.52388</v>
      </c>
      <c r="P6" s="7" t="n">
        <v>0.77016</v>
      </c>
      <c r="Q6" s="7" t="n">
        <v>0.19622</v>
      </c>
      <c r="R6" s="8" t="n">
        <v>1.003</v>
      </c>
      <c r="S6" s="7" t="n">
        <v>0.34535</v>
      </c>
      <c r="T6" s="8" t="n">
        <v>1.27</v>
      </c>
      <c r="U6" s="21" t="n">
        <v>1</v>
      </c>
    </row>
    <row r="7">
      <c r="A7" s="5" t="inlineStr">
        <is>
          <t>P5 (m3)</t>
        </is>
      </c>
      <c r="B7" s="5" t="inlineStr">
        <is>
          <t>Cabeza</t>
        </is>
      </c>
      <c r="C7" s="20" t="n">
        <v>277.68</v>
      </c>
      <c r="D7" s="22" t="n">
        <v>0.64971</v>
      </c>
      <c r="E7" s="22" t="n">
        <v>4.072</v>
      </c>
      <c r="F7" s="7" t="n">
        <v>0.1595555009823183</v>
      </c>
      <c r="G7" s="5" t="inlineStr">
        <is>
          <t>no</t>
        </is>
      </c>
      <c r="H7" s="21" t="n">
        <v>0</v>
      </c>
      <c r="I7" s="5" t="inlineStr">
        <is>
          <t>Cabeza</t>
        </is>
      </c>
      <c r="J7" s="5" t="inlineStr">
        <is>
          <t>ELS04</t>
        </is>
      </c>
      <c r="K7" s="22" t="n">
        <v>26.786</v>
      </c>
      <c r="L7" s="22" t="n">
        <v>24.729</v>
      </c>
      <c r="M7" s="7" t="n">
        <v>0.89286</v>
      </c>
      <c r="N7" s="7" t="n">
        <v>0.83614</v>
      </c>
      <c r="O7" s="7" t="n">
        <v>0.49786</v>
      </c>
      <c r="P7" s="7" t="n">
        <v>0.66223</v>
      </c>
      <c r="Q7" s="7" t="n">
        <v>0.08778</v>
      </c>
      <c r="R7" s="7" t="n">
        <v>0.75025</v>
      </c>
      <c r="S7" s="7" t="n">
        <v>0.15957</v>
      </c>
      <c r="T7" s="7" t="n">
        <v>0.7064</v>
      </c>
      <c r="U7" s="21" t="n">
        <v>1</v>
      </c>
    </row>
    <row r="8">
      <c r="A8" s="5" t="inlineStr">
        <is>
          <t>P7 (m4)</t>
        </is>
      </c>
      <c r="B8" s="5" t="inlineStr">
        <is>
          <t>Cabeza</t>
        </is>
      </c>
      <c r="C8" s="20" t="n">
        <v>284.86</v>
      </c>
      <c r="D8" s="22" t="n">
        <v>0.48319</v>
      </c>
      <c r="E8" s="22" t="n">
        <v>4.072</v>
      </c>
      <c r="F8" s="7" t="n">
        <v>0.1186615913555992</v>
      </c>
      <c r="G8" s="5" t="inlineStr">
        <is>
          <t>no</t>
        </is>
      </c>
      <c r="H8" s="21" t="n">
        <v>0</v>
      </c>
      <c r="I8" s="5" t="inlineStr">
        <is>
          <t>Cabeza</t>
        </is>
      </c>
      <c r="J8" s="5" t="inlineStr">
        <is>
          <t>ELS04</t>
        </is>
      </c>
      <c r="K8" s="22" t="n">
        <v>27.01</v>
      </c>
      <c r="L8" s="22" t="n">
        <v>24.926</v>
      </c>
      <c r="M8" s="7" t="n">
        <v>0.90034</v>
      </c>
      <c r="N8" s="7" t="n">
        <v>0.83695</v>
      </c>
      <c r="O8" s="7" t="n">
        <v>0.50256</v>
      </c>
      <c r="P8" s="7" t="n">
        <v>0.66251</v>
      </c>
      <c r="Q8" s="7" t="n">
        <v>0.06387</v>
      </c>
      <c r="R8" s="7" t="n">
        <v>0.77181</v>
      </c>
      <c r="S8" s="7" t="n">
        <v>0.11867</v>
      </c>
      <c r="T8" s="7" t="n">
        <v>0.7216</v>
      </c>
      <c r="U8" s="21" t="n">
        <v>1</v>
      </c>
    </row>
    <row r="9">
      <c r="A9" s="5" t="inlineStr">
        <is>
          <t>P13 (m5)</t>
        </is>
      </c>
      <c r="B9" s="5" t="inlineStr">
        <is>
          <t>Cabeza</t>
        </is>
      </c>
      <c r="C9" s="20" t="n">
        <v>277.68</v>
      </c>
      <c r="D9" s="22" t="n">
        <v>0.64971</v>
      </c>
      <c r="E9" s="22" t="n">
        <v>4.072</v>
      </c>
      <c r="F9" s="7" t="n">
        <v>0.1595555009823183</v>
      </c>
      <c r="G9" s="5" t="inlineStr">
        <is>
          <t>no</t>
        </is>
      </c>
      <c r="H9" s="21" t="n">
        <v>0</v>
      </c>
      <c r="I9" s="5" t="inlineStr">
        <is>
          <t>Cabeza</t>
        </is>
      </c>
      <c r="J9" s="5" t="inlineStr">
        <is>
          <t>ELS04</t>
        </is>
      </c>
      <c r="K9" s="22" t="n">
        <v>26.202</v>
      </c>
      <c r="L9" s="22" t="n">
        <v>24.14</v>
      </c>
      <c r="M9" s="7" t="n">
        <v>0.87339</v>
      </c>
      <c r="N9" s="7" t="n">
        <v>0.81582</v>
      </c>
      <c r="O9" s="7" t="n">
        <v>0.4793</v>
      </c>
      <c r="P9" s="7" t="n">
        <v>0.64886</v>
      </c>
      <c r="Q9" s="7" t="n">
        <v>0.08778</v>
      </c>
      <c r="R9" s="7" t="n">
        <v>0.72046</v>
      </c>
      <c r="S9" s="7" t="n">
        <v>0.15957</v>
      </c>
      <c r="T9" s="7" t="n">
        <v>0.73155</v>
      </c>
      <c r="U9" s="21" t="n">
        <v>1</v>
      </c>
    </row>
    <row r="10">
      <c r="A10" s="5" t="inlineStr">
        <is>
          <t>P15 (m6)</t>
        </is>
      </c>
      <c r="B10" s="5" t="inlineStr">
        <is>
          <t>Cabeza</t>
        </is>
      </c>
      <c r="C10" s="20" t="n">
        <v>307.5</v>
      </c>
      <c r="D10" s="22" t="n">
        <v>1.406</v>
      </c>
      <c r="E10" s="22" t="n">
        <v>4.072</v>
      </c>
      <c r="F10" s="7" t="n">
        <v>0.3452848722986247</v>
      </c>
      <c r="G10" s="5" t="inlineStr">
        <is>
          <t>no</t>
        </is>
      </c>
      <c r="H10" s="21" t="n">
        <v>0</v>
      </c>
      <c r="I10" s="5" t="inlineStr">
        <is>
          <t>Cabeza</t>
        </is>
      </c>
      <c r="J10" s="5" t="inlineStr">
        <is>
          <t>ELS04</t>
        </is>
      </c>
      <c r="K10" s="22" t="n">
        <v>28.408</v>
      </c>
      <c r="L10" s="22" t="n">
        <v>25.852</v>
      </c>
      <c r="M10" s="7" t="n">
        <v>0.94693</v>
      </c>
      <c r="N10" s="7" t="n">
        <v>0.86173</v>
      </c>
      <c r="O10" s="7" t="n">
        <v>0.48336</v>
      </c>
      <c r="P10" s="7" t="n">
        <v>0.72782</v>
      </c>
      <c r="Q10" s="7" t="n">
        <v>0.19622</v>
      </c>
      <c r="R10" s="7" t="n">
        <v>0.92206</v>
      </c>
      <c r="S10" s="7" t="n">
        <v>0.34535</v>
      </c>
      <c r="T10" s="8" t="n">
        <v>1.161</v>
      </c>
      <c r="U10" s="21" t="n">
        <v>1</v>
      </c>
    </row>
    <row r="11">
      <c r="A11" s="5" t="inlineStr">
        <is>
          <t>P16 (m7)</t>
        </is>
      </c>
      <c r="B11" s="5" t="inlineStr">
        <is>
          <t>Cabeza</t>
        </is>
      </c>
      <c r="C11" s="20" t="n">
        <v>153.71</v>
      </c>
      <c r="D11" s="22" t="n">
        <v>3.074</v>
      </c>
      <c r="E11" s="22" t="n">
        <v>4.072</v>
      </c>
      <c r="F11" s="7" t="n">
        <v>0.7549115913555992</v>
      </c>
      <c r="G11" s="5" t="inlineStr">
        <is>
          <t>no</t>
        </is>
      </c>
      <c r="H11" s="21" t="n">
        <v>0</v>
      </c>
      <c r="I11" s="5" t="inlineStr">
        <is>
          <t>Cabeza</t>
        </is>
      </c>
      <c r="J11" s="5" t="inlineStr">
        <is>
          <t>ELS04</t>
        </is>
      </c>
      <c r="K11" s="22" t="n">
        <v>31.028</v>
      </c>
      <c r="L11" s="22" t="n">
        <v>26.686</v>
      </c>
      <c r="M11" s="8" t="n">
        <v>1.034</v>
      </c>
      <c r="N11" s="7" t="n">
        <v>0.88954</v>
      </c>
      <c r="O11" s="7" t="n">
        <v>0.54009</v>
      </c>
      <c r="P11" s="7" t="n">
        <v>0.82725</v>
      </c>
      <c r="Q11" s="7" t="n">
        <v>0.44613</v>
      </c>
      <c r="R11" s="8" t="n">
        <v>1.256</v>
      </c>
      <c r="S11" s="7" t="n">
        <v>0.75509</v>
      </c>
      <c r="T11" s="8" t="n">
        <v>1.163</v>
      </c>
      <c r="U11" s="21" t="n">
        <v>1</v>
      </c>
    </row>
    <row r="12">
      <c r="A12" s="5" t="inlineStr">
        <is>
          <t>P2 (t1)</t>
        </is>
      </c>
      <c r="B12" s="5" t="inlineStr">
        <is>
          <t>Cabeza</t>
        </is>
      </c>
      <c r="C12" s="20" t="n">
        <v>141.06</v>
      </c>
      <c r="D12" s="22" t="n">
        <v>3.112</v>
      </c>
      <c r="E12" s="22" t="n">
        <v>4.072</v>
      </c>
      <c r="F12" s="7" t="n">
        <v>0.7642436149312377</v>
      </c>
      <c r="G12" s="5" t="inlineStr">
        <is>
          <t>no</t>
        </is>
      </c>
      <c r="H12" s="21" t="n">
        <v>0</v>
      </c>
      <c r="I12" s="5" t="inlineStr">
        <is>
          <t>Cabeza</t>
        </is>
      </c>
      <c r="J12" s="5" t="inlineStr">
        <is>
          <t>ELS04</t>
        </is>
      </c>
      <c r="K12" s="22" t="n">
        <v>31.664</v>
      </c>
      <c r="L12" s="22" t="n">
        <v>26.886</v>
      </c>
      <c r="M12" s="8" t="n">
        <v>1.055</v>
      </c>
      <c r="N12" s="7" t="n">
        <v>0.8988</v>
      </c>
      <c r="O12" s="7" t="n">
        <v>0.69232</v>
      </c>
      <c r="P12" s="7" t="n">
        <v>0.79718</v>
      </c>
      <c r="Q12" s="7" t="n">
        <v>0.45244</v>
      </c>
      <c r="R12" s="8" t="n">
        <v>1.663</v>
      </c>
      <c r="S12" s="7" t="n">
        <v>0.76431</v>
      </c>
      <c r="T12" s="8" t="n">
        <v>1.525</v>
      </c>
      <c r="U12" s="21" t="n">
        <v>1</v>
      </c>
    </row>
    <row r="13">
      <c r="A13" s="5" t="inlineStr">
        <is>
          <t>P4 (t2)</t>
        </is>
      </c>
      <c r="B13" s="5" t="inlineStr">
        <is>
          <t>Cabeza</t>
        </is>
      </c>
      <c r="C13" s="20" t="n">
        <v>282.02</v>
      </c>
      <c r="D13" s="22" t="n">
        <v>1.552</v>
      </c>
      <c r="E13" s="22" t="n">
        <v>4.072</v>
      </c>
      <c r="F13" s="7" t="n">
        <v>0.381139489194499</v>
      </c>
      <c r="G13" s="5" t="inlineStr">
        <is>
          <t>no</t>
        </is>
      </c>
      <c r="H13" s="21" t="n">
        <v>0</v>
      </c>
      <c r="I13" s="5" t="inlineStr">
        <is>
          <t>Pie</t>
        </is>
      </c>
      <c r="J13" s="5" t="inlineStr">
        <is>
          <t>ELS03</t>
        </is>
      </c>
      <c r="K13" s="22" t="n">
        <v>24.174</v>
      </c>
      <c r="L13" s="22" t="n">
        <v>22.568</v>
      </c>
      <c r="M13" s="7" t="n">
        <v>0.80579</v>
      </c>
      <c r="N13" s="7" t="n">
        <v>0.7522799999999999</v>
      </c>
      <c r="O13" s="7" t="n">
        <v>0.62518</v>
      </c>
      <c r="P13" s="7" t="n">
        <v>0.52061</v>
      </c>
      <c r="Q13" s="7" t="n">
        <v>0.21833</v>
      </c>
      <c r="R13" s="7" t="n">
        <v>0.77425</v>
      </c>
      <c r="S13" s="7" t="n">
        <v>0.3812</v>
      </c>
      <c r="T13" s="7" t="n">
        <v>0.65385</v>
      </c>
      <c r="U13" s="21" t="n">
        <v>1</v>
      </c>
    </row>
    <row r="14">
      <c r="A14" s="5" t="inlineStr">
        <is>
          <t>P6 (t3)</t>
        </is>
      </c>
      <c r="B14" s="5" t="inlineStr">
        <is>
          <t>Cabeza</t>
        </is>
      </c>
      <c r="C14" s="20" t="n">
        <v>254.91</v>
      </c>
      <c r="D14" s="22" t="n">
        <v>0.79178</v>
      </c>
      <c r="E14" s="22" t="n">
        <v>4.072</v>
      </c>
      <c r="F14" s="7" t="n">
        <v>0.1944449901768173</v>
      </c>
      <c r="G14" s="5" t="inlineStr">
        <is>
          <t>no</t>
        </is>
      </c>
      <c r="H14" s="21" t="n">
        <v>0</v>
      </c>
      <c r="I14" s="5" t="inlineStr">
        <is>
          <t>Pie</t>
        </is>
      </c>
      <c r="J14" s="5" t="inlineStr">
        <is>
          <t>ELS03</t>
        </is>
      </c>
      <c r="K14" s="22" t="n">
        <v>23.962</v>
      </c>
      <c r="L14" s="22" t="n">
        <v>22.586</v>
      </c>
      <c r="M14" s="7" t="n">
        <v>0.79872</v>
      </c>
      <c r="N14" s="7" t="n">
        <v>0.75288</v>
      </c>
      <c r="O14" s="7" t="n">
        <v>0.62791</v>
      </c>
      <c r="P14" s="7" t="n">
        <v>0.50471</v>
      </c>
      <c r="Q14" s="7" t="n">
        <v>0.10929</v>
      </c>
      <c r="R14" s="7" t="n">
        <v>0.79901</v>
      </c>
      <c r="S14" s="7" t="n">
        <v>0.19446</v>
      </c>
      <c r="T14" s="7" t="n">
        <v>0.57622</v>
      </c>
      <c r="U14" s="21" t="n">
        <v>1</v>
      </c>
    </row>
    <row r="15">
      <c r="A15" s="5" t="inlineStr">
        <is>
          <t>P8 (t4)</t>
        </is>
      </c>
      <c r="B15" s="5" t="inlineStr">
        <is>
          <t>Cabeza</t>
        </is>
      </c>
      <c r="C15" s="20" t="n">
        <v>261.41</v>
      </c>
      <c r="D15" s="22" t="n">
        <v>0.63572</v>
      </c>
      <c r="E15" s="22" t="n">
        <v>4.072</v>
      </c>
      <c r="F15" s="7" t="n">
        <v>0.1561198428290766</v>
      </c>
      <c r="G15" s="5" t="inlineStr">
        <is>
          <t>no</t>
        </is>
      </c>
      <c r="H15" s="21" t="n">
        <v>0</v>
      </c>
      <c r="I15" s="5" t="inlineStr">
        <is>
          <t>Pie</t>
        </is>
      </c>
      <c r="J15" s="5" t="inlineStr">
        <is>
          <t>ELS03</t>
        </is>
      </c>
      <c r="K15" s="22" t="n">
        <v>23.298</v>
      </c>
      <c r="L15" s="22" t="n">
        <v>21.912</v>
      </c>
      <c r="M15" s="7" t="n">
        <v>0.7766</v>
      </c>
      <c r="N15" s="7" t="n">
        <v>0.73041</v>
      </c>
      <c r="O15" s="7" t="n">
        <v>0.60559</v>
      </c>
      <c r="P15" s="7" t="n">
        <v>0.48533</v>
      </c>
      <c r="Q15" s="7" t="n">
        <v>0.08688</v>
      </c>
      <c r="R15" s="7" t="n">
        <v>0.75702</v>
      </c>
      <c r="S15" s="7" t="n">
        <v>0.15613</v>
      </c>
      <c r="T15" s="7" t="n">
        <v>0.52711</v>
      </c>
      <c r="U15" s="21" t="n">
        <v>1</v>
      </c>
    </row>
    <row r="16">
      <c r="A16" s="5" t="inlineStr">
        <is>
          <t>P14 (t5)</t>
        </is>
      </c>
      <c r="B16" s="5" t="inlineStr">
        <is>
          <t>Cabeza</t>
        </is>
      </c>
      <c r="C16" s="20" t="n">
        <v>254.91</v>
      </c>
      <c r="D16" s="22" t="n">
        <v>0.79178</v>
      </c>
      <c r="E16" s="22" t="n">
        <v>4.072</v>
      </c>
      <c r="F16" s="7" t="n">
        <v>0.1944449901768173</v>
      </c>
      <c r="G16" s="5" t="inlineStr">
        <is>
          <t>no</t>
        </is>
      </c>
      <c r="H16" s="21" t="n">
        <v>0</v>
      </c>
      <c r="I16" s="5" t="inlineStr">
        <is>
          <t>Pie</t>
        </is>
      </c>
      <c r="J16" s="5" t="inlineStr">
        <is>
          <t>ELS03</t>
        </is>
      </c>
      <c r="K16" s="22" t="n">
        <v>22.97</v>
      </c>
      <c r="L16" s="22" t="n">
        <v>21.61</v>
      </c>
      <c r="M16" s="7" t="n">
        <v>0.7656500000000001</v>
      </c>
      <c r="N16" s="7" t="n">
        <v>0.72033</v>
      </c>
      <c r="O16" s="7" t="n">
        <v>0.60289</v>
      </c>
      <c r="P16" s="7" t="n">
        <v>0.47961</v>
      </c>
      <c r="Q16" s="7" t="n">
        <v>0.10929</v>
      </c>
      <c r="R16" s="7" t="n">
        <v>0.75837</v>
      </c>
      <c r="S16" s="7" t="n">
        <v>0.19446</v>
      </c>
      <c r="T16" s="7" t="n">
        <v>0.5355799999999999</v>
      </c>
      <c r="U16" s="21" t="n">
        <v>1</v>
      </c>
    </row>
    <row r="17">
      <c r="A17" s="5" t="inlineStr">
        <is>
          <t>P17 (t6)</t>
        </is>
      </c>
      <c r="B17" s="5" t="inlineStr">
        <is>
          <t>Cabeza</t>
        </is>
      </c>
      <c r="C17" s="20" t="n">
        <v>282.02</v>
      </c>
      <c r="D17" s="22" t="n">
        <v>1.552</v>
      </c>
      <c r="E17" s="22" t="n">
        <v>4.072</v>
      </c>
      <c r="F17" s="7" t="n">
        <v>0.381139489194499</v>
      </c>
      <c r="G17" s="5" t="inlineStr">
        <is>
          <t>no</t>
        </is>
      </c>
      <c r="H17" s="21" t="n">
        <v>0</v>
      </c>
      <c r="I17" s="5" t="inlineStr">
        <is>
          <t>Pie</t>
        </is>
      </c>
      <c r="J17" s="5" t="inlineStr">
        <is>
          <t>ELS03</t>
        </is>
      </c>
      <c r="K17" s="22" t="n">
        <v>22.789</v>
      </c>
      <c r="L17" s="22" t="n">
        <v>21.168</v>
      </c>
      <c r="M17" s="7" t="n">
        <v>0.75964</v>
      </c>
      <c r="N17" s="7" t="n">
        <v>0.7056</v>
      </c>
      <c r="O17" s="7" t="n">
        <v>0.58089</v>
      </c>
      <c r="P17" s="7" t="n">
        <v>0.48848</v>
      </c>
      <c r="Q17" s="7" t="n">
        <v>0.21833</v>
      </c>
      <c r="R17" s="7" t="n">
        <v>0.74959</v>
      </c>
      <c r="S17" s="7" t="n">
        <v>0.3812</v>
      </c>
      <c r="T17" s="7" t="n">
        <v>0.75648</v>
      </c>
      <c r="U17" s="21" t="n">
        <v>1</v>
      </c>
    </row>
    <row r="18">
      <c r="A18" s="5" t="inlineStr">
        <is>
          <t>P18 (t7)</t>
        </is>
      </c>
      <c r="B18" s="5" t="inlineStr">
        <is>
          <t>Cabeza</t>
        </is>
      </c>
      <c r="C18" s="20" t="n">
        <v>141.06</v>
      </c>
      <c r="D18" s="22" t="n">
        <v>3.112</v>
      </c>
      <c r="E18" s="22" t="n">
        <v>4.072</v>
      </c>
      <c r="F18" s="7" t="n">
        <v>0.7642436149312377</v>
      </c>
      <c r="G18" s="5" t="inlineStr">
        <is>
          <t>no</t>
        </is>
      </c>
      <c r="H18" s="21" t="n">
        <v>0</v>
      </c>
      <c r="I18" s="5" t="inlineStr">
        <is>
          <t>Cabeza</t>
        </is>
      </c>
      <c r="J18" s="5" t="inlineStr">
        <is>
          <t>ELS04</t>
        </is>
      </c>
      <c r="K18" s="22" t="n">
        <v>28.895</v>
      </c>
      <c r="L18" s="22" t="n">
        <v>24.161</v>
      </c>
      <c r="M18" s="11" t="n">
        <v>0.96316</v>
      </c>
      <c r="N18" s="7" t="n">
        <v>0.80537</v>
      </c>
      <c r="O18" s="7" t="n">
        <v>0.6181</v>
      </c>
      <c r="P18" s="7" t="n">
        <v>0.73362</v>
      </c>
      <c r="Q18" s="7" t="n">
        <v>0.45244</v>
      </c>
      <c r="R18" s="8" t="n">
        <v>1.446</v>
      </c>
      <c r="S18" s="7" t="n">
        <v>0.76431</v>
      </c>
      <c r="T18" s="8" t="n">
        <v>1.304</v>
      </c>
      <c r="U18" s="21" t="n">
        <v>1</v>
      </c>
    </row>
    <row r="19">
      <c r="A19" t="inlineStr">
        <is>
          <t>P1, P2, P3, P16: σc &gt; 0.6fck con Ecm -&gt; se mantiene 12Ø25 y se reduce la separación de los cercos a Ø10 c/100 en los 0.40 m superiores (confinamiento, A19.7.2(2)); ver Propuesta y F1. ψ2,TB = 0.5: fisuran seis pilotes (F2).</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0.9" customWidth="1" min="3" max="3"/>
    <col width="20" customWidth="1" min="4" max="4"/>
    <col width="17.3" customWidth="1" min="5" max="5"/>
    <col width="18.2" customWidth="1" min="6" max="6"/>
    <col width="17.3" customWidth="1" min="7" max="7"/>
    <col width="18.2" customWidth="1" min="8" max="8"/>
    <col width="10" customWidth="1" min="9" max="9"/>
    <col width="12.8" customWidth="1" min="10" max="10"/>
    <col width="12.8" customWidth="1" min="11" max="11"/>
    <col width="13.7" customWidth="1" min="12" max="12"/>
    <col width="14.6" customWidth="1" min="13" max="13"/>
    <col width="12.8" customWidth="1" min="14" max="14"/>
  </cols>
  <sheetData>
    <row r="1">
      <c r="A1" s="1" t="inlineStr">
        <is>
          <t>Vigas: flexión ELU (A19.6.1) y armadura necesaria / dispuesta — caso final CE-ROM</t>
        </is>
      </c>
    </row>
    <row r="2">
      <c r="A2" s="2" t="inlineStr">
        <is>
          <t>As,uls = armadura de tracción de cálculo (simple); As,req = max(As,uls, As,min CE 9.1). Filas 'eje pilote (info)' = momento en el eje del nudo rígido, información (F6).</t>
        </is>
      </c>
    </row>
    <row r="4" ht="32" customHeight="1">
      <c r="A4" s="4" t="inlineStr">
        <is>
          <t>Viga</t>
        </is>
      </c>
      <c r="B4" s="4" t="inlineStr">
        <is>
          <t>Sección</t>
        </is>
      </c>
      <c r="C4" s="4" t="inlineStr">
        <is>
          <t>y / x (m)</t>
        </is>
      </c>
      <c r="D4" s="4" t="inlineStr">
        <is>
          <t>Cara</t>
        </is>
      </c>
      <c r="E4" s="4" t="inlineStr">
        <is>
          <t>Combo</t>
        </is>
      </c>
      <c r="F4" s="4" t="inlineStr">
        <is>
          <t>MEd (kN·m)</t>
        </is>
      </c>
      <c r="G4" s="4" t="inlineStr">
        <is>
          <t>MRd (kN·m)</t>
        </is>
      </c>
      <c r="H4" s="4" t="inlineStr">
        <is>
          <t>η</t>
        </is>
      </c>
      <c r="I4" s="4" t="inlineStr">
        <is>
          <t>As,uls (cm²)</t>
        </is>
      </c>
      <c r="J4" s="4" t="inlineStr">
        <is>
          <t>As,min (cm²)</t>
        </is>
      </c>
      <c r="K4" s="4" t="inlineStr">
        <is>
          <t>As,req (cm²)</t>
        </is>
      </c>
      <c r="L4" s="4" t="inlineStr">
        <is>
          <t>As,disp (cm²)</t>
        </is>
      </c>
      <c r="M4" s="4" t="inlineStr">
        <is>
          <t>As,req/As,disp</t>
        </is>
      </c>
      <c r="N4" s="4" t="inlineStr">
        <is>
          <t>En veredicto</t>
        </is>
      </c>
    </row>
    <row r="5">
      <c r="A5" s="5" t="inlineStr">
        <is>
          <t>VT1</t>
        </is>
      </c>
      <c r="B5" s="5" t="inlineStr">
        <is>
          <t>cara pilote mar - voladizo</t>
        </is>
      </c>
      <c r="C5" s="21" t="n">
        <v>-0.2</v>
      </c>
      <c r="D5" s="5" t="inlineStr">
        <is>
          <t>bottom</t>
        </is>
      </c>
      <c r="E5" s="5" t="inlineStr">
        <is>
          <t>ELR17</t>
        </is>
      </c>
      <c r="F5" s="20" t="n">
        <v>12.377</v>
      </c>
      <c r="G5" s="20" t="n">
        <v>429.257</v>
      </c>
      <c r="H5" s="7" t="n">
        <v>0.0288</v>
      </c>
      <c r="I5" s="22" t="n">
        <v>0.5939</v>
      </c>
      <c r="J5" s="22" t="n">
        <v>8.07</v>
      </c>
      <c r="K5" s="22" t="n">
        <v>8.07</v>
      </c>
      <c r="L5" s="22" t="n">
        <v>18.8496</v>
      </c>
      <c r="M5" s="7" t="n">
        <v>0.428</v>
      </c>
      <c r="N5" s="5" t="inlineStr">
        <is>
          <t>sí</t>
        </is>
      </c>
    </row>
    <row r="6">
      <c r="A6" s="5" t="inlineStr">
        <is>
          <t>VT1</t>
        </is>
      </c>
      <c r="B6" s="5" t="inlineStr">
        <is>
          <t>cara pilote mar - voladizo</t>
        </is>
      </c>
      <c r="C6" s="21" t="n">
        <v>-0.2</v>
      </c>
      <c r="D6" s="5" t="inlineStr">
        <is>
          <t>top</t>
        </is>
      </c>
      <c r="E6" s="5" t="inlineStr">
        <is>
          <t>ELR08</t>
        </is>
      </c>
      <c r="F6" s="20" t="n">
        <v>-58.572</v>
      </c>
      <c r="G6" s="20" t="n">
        <v>362.568</v>
      </c>
      <c r="H6" s="7" t="n">
        <v>0.1615</v>
      </c>
      <c r="I6" s="22" t="n">
        <v>2.8233</v>
      </c>
      <c r="J6" s="22" t="n">
        <v>7.42</v>
      </c>
      <c r="K6" s="22" t="n">
        <v>7.42</v>
      </c>
      <c r="L6" s="22" t="n">
        <v>15.708</v>
      </c>
      <c r="M6" s="7" t="n">
        <v>0.472</v>
      </c>
      <c r="N6" s="5" t="inlineStr">
        <is>
          <t>sí</t>
        </is>
      </c>
    </row>
    <row r="7">
      <c r="A7" s="5" t="inlineStr">
        <is>
          <t>VT1</t>
        </is>
      </c>
      <c r="B7" s="5" t="inlineStr">
        <is>
          <t>cara pilote mar - vano</t>
        </is>
      </c>
      <c r="C7" s="21" t="n">
        <v>0.2</v>
      </c>
      <c r="D7" s="5" t="inlineStr">
        <is>
          <t>bottom</t>
        </is>
      </c>
      <c r="E7" s="5" t="inlineStr">
        <is>
          <t>ELR17</t>
        </is>
      </c>
      <c r="F7" s="20" t="n">
        <v>23.448</v>
      </c>
      <c r="G7" s="20" t="n">
        <v>429.257</v>
      </c>
      <c r="H7" s="7" t="n">
        <v>0.0546</v>
      </c>
      <c r="I7" s="22" t="n">
        <v>1.1267</v>
      </c>
      <c r="J7" s="22" t="n">
        <v>8.07</v>
      </c>
      <c r="K7" s="22" t="n">
        <v>8.07</v>
      </c>
      <c r="L7" s="22" t="n">
        <v>18.8496</v>
      </c>
      <c r="M7" s="7" t="n">
        <v>0.428</v>
      </c>
      <c r="N7" s="5" t="inlineStr">
        <is>
          <t>sí</t>
        </is>
      </c>
    </row>
    <row r="8">
      <c r="A8" s="5" t="inlineStr">
        <is>
          <t>VT1</t>
        </is>
      </c>
      <c r="B8" s="5" t="inlineStr">
        <is>
          <t>cara pilote mar - vano</t>
        </is>
      </c>
      <c r="C8" s="21" t="n">
        <v>0.2</v>
      </c>
      <c r="D8" s="5" t="inlineStr">
        <is>
          <t>top</t>
        </is>
      </c>
      <c r="E8" s="5" t="inlineStr">
        <is>
          <t>ELR08</t>
        </is>
      </c>
      <c r="F8" s="20" t="n">
        <v>-316.328</v>
      </c>
      <c r="G8" s="20" t="n">
        <v>362.568</v>
      </c>
      <c r="H8" s="7" t="n">
        <v>0.8725000000000001</v>
      </c>
      <c r="I8" s="22" t="n">
        <v>15.6732</v>
      </c>
      <c r="J8" s="22" t="n">
        <v>7.42</v>
      </c>
      <c r="K8" s="22" t="n">
        <v>15.67</v>
      </c>
      <c r="L8" s="22" t="n">
        <v>15.708</v>
      </c>
      <c r="M8" s="11" t="n">
        <v>0.998</v>
      </c>
      <c r="N8" s="5" t="inlineStr">
        <is>
          <t>sí</t>
        </is>
      </c>
    </row>
    <row r="9">
      <c r="A9" s="5" t="inlineStr">
        <is>
          <t>VT1</t>
        </is>
      </c>
      <c r="B9" s="5" t="inlineStr">
        <is>
          <t>cara pilote tierra - vano</t>
        </is>
      </c>
      <c r="C9" s="21" t="n">
        <v>3.25</v>
      </c>
      <c r="D9" s="5" t="inlineStr">
        <is>
          <t>bottom</t>
        </is>
      </c>
      <c r="E9" s="5" t="inlineStr">
        <is>
          <t>ELR08</t>
        </is>
      </c>
      <c r="F9" s="20" t="n">
        <v>275.78</v>
      </c>
      <c r="G9" s="20" t="n">
        <v>429.257</v>
      </c>
      <c r="H9" s="7" t="n">
        <v>0.6425</v>
      </c>
      <c r="I9" s="22" t="n">
        <v>13.6811</v>
      </c>
      <c r="J9" s="22" t="n">
        <v>8.07</v>
      </c>
      <c r="K9" s="22" t="n">
        <v>13.68</v>
      </c>
      <c r="L9" s="22" t="n">
        <v>18.8496</v>
      </c>
      <c r="M9" s="7" t="n">
        <v>0.726</v>
      </c>
      <c r="N9" s="5" t="inlineStr">
        <is>
          <t>sí</t>
        </is>
      </c>
    </row>
    <row r="10">
      <c r="A10" s="5" t="inlineStr">
        <is>
          <t>VT1</t>
        </is>
      </c>
      <c r="B10" s="5" t="inlineStr">
        <is>
          <t>cara pilote tierra - vuelo</t>
        </is>
      </c>
      <c r="C10" s="21" t="n">
        <v>3.65</v>
      </c>
      <c r="D10" s="5" t="inlineStr">
        <is>
          <t>bottom</t>
        </is>
      </c>
      <c r="E10" s="5" t="inlineStr">
        <is>
          <t>ELR14</t>
        </is>
      </c>
      <c r="F10" s="20" t="n">
        <v>6.906</v>
      </c>
      <c r="G10" s="20" t="n">
        <v>429.257</v>
      </c>
      <c r="H10" s="7" t="n">
        <v>0.0161</v>
      </c>
      <c r="I10" s="22" t="n">
        <v>0.3312</v>
      </c>
      <c r="J10" s="22" t="n">
        <v>8.07</v>
      </c>
      <c r="K10" s="22" t="n">
        <v>8.07</v>
      </c>
      <c r="L10" s="22" t="n">
        <v>18.8496</v>
      </c>
      <c r="M10" s="7" t="n">
        <v>0.428</v>
      </c>
      <c r="N10" s="5" t="inlineStr">
        <is>
          <t>sí</t>
        </is>
      </c>
    </row>
    <row r="11">
      <c r="A11" s="5" t="inlineStr">
        <is>
          <t>VT1</t>
        </is>
      </c>
      <c r="B11" s="5" t="inlineStr">
        <is>
          <t>vano: máx. positivo</t>
        </is>
      </c>
      <c r="C11" s="21" t="n">
        <v>3.25</v>
      </c>
      <c r="D11" s="5" t="inlineStr">
        <is>
          <t>bottom</t>
        </is>
      </c>
      <c r="E11" s="5" t="inlineStr">
        <is>
          <t>ELR08</t>
        </is>
      </c>
      <c r="F11" s="20" t="n">
        <v>275.607</v>
      </c>
      <c r="G11" s="20" t="n">
        <v>429.257</v>
      </c>
      <c r="H11" s="7" t="n">
        <v>0.6421</v>
      </c>
      <c r="I11" s="22" t="n">
        <v>13.6723</v>
      </c>
      <c r="J11" s="22" t="n">
        <v>8.07</v>
      </c>
      <c r="K11" s="22" t="n">
        <v>13.67</v>
      </c>
      <c r="L11" s="22" t="n">
        <v>18.8496</v>
      </c>
      <c r="M11" s="7" t="n">
        <v>0.725</v>
      </c>
      <c r="N11" s="5" t="inlineStr">
        <is>
          <t>sí</t>
        </is>
      </c>
    </row>
    <row r="12">
      <c r="A12" s="5" t="inlineStr">
        <is>
          <t>VT1</t>
        </is>
      </c>
      <c r="B12" s="5" t="inlineStr">
        <is>
          <t>eje pilote mar (info, nudo rígido)</t>
        </is>
      </c>
      <c r="C12" s="21" t="n">
        <v>0</v>
      </c>
      <c r="D12" s="5" t="inlineStr">
        <is>
          <t>bottom</t>
        </is>
      </c>
      <c r="E12" s="5" t="inlineStr">
        <is>
          <t>ELR17</t>
        </is>
      </c>
      <c r="F12" s="20" t="n">
        <v>24.622</v>
      </c>
      <c r="G12" s="20" t="n">
        <v>429.257</v>
      </c>
      <c r="H12" s="23" t="n">
        <v>0.0574</v>
      </c>
      <c r="I12" s="22" t="n">
        <v>1.1833</v>
      </c>
      <c r="J12" s="22" t="n">
        <v>8.07</v>
      </c>
      <c r="K12" s="22" t="n">
        <v>1.18</v>
      </c>
      <c r="L12" s="22" t="n">
        <v>18.8496</v>
      </c>
      <c r="M12" s="23" t="n">
        <v>0.063</v>
      </c>
      <c r="N12" s="5" t="inlineStr">
        <is>
          <t>info</t>
        </is>
      </c>
    </row>
    <row r="13">
      <c r="A13" s="5" t="inlineStr">
        <is>
          <t>VT1</t>
        </is>
      </c>
      <c r="B13" s="5" t="inlineStr">
        <is>
          <t>eje pilote mar (info, nudo rígido)</t>
        </is>
      </c>
      <c r="C13" s="21" t="n">
        <v>0</v>
      </c>
      <c r="D13" s="5" t="inlineStr">
        <is>
          <t>top</t>
        </is>
      </c>
      <c r="E13" s="5" t="inlineStr">
        <is>
          <t>ELR08</t>
        </is>
      </c>
      <c r="F13" s="20" t="n">
        <v>-388.56</v>
      </c>
      <c r="G13" s="20" t="n">
        <v>362.568</v>
      </c>
      <c r="H13" s="23" t="n">
        <v>1.0717</v>
      </c>
      <c r="I13" s="22" t="n">
        <v>19.4096</v>
      </c>
      <c r="J13" s="22" t="n">
        <v>7.42</v>
      </c>
      <c r="K13" s="22" t="n">
        <v>19.41</v>
      </c>
      <c r="L13" s="22" t="n">
        <v>15.708</v>
      </c>
      <c r="M13" s="23" t="n">
        <v>1.236</v>
      </c>
      <c r="N13" s="5" t="inlineStr">
        <is>
          <t>info</t>
        </is>
      </c>
    </row>
    <row r="14">
      <c r="A14" s="5" t="inlineStr">
        <is>
          <t>VT1</t>
        </is>
      </c>
      <c r="B14" s="5" t="inlineStr">
        <is>
          <t>eje pilote tierra (info, nudo rígido)</t>
        </is>
      </c>
      <c r="C14" s="21" t="n">
        <v>3.45</v>
      </c>
      <c r="D14" s="5" t="inlineStr">
        <is>
          <t>bottom</t>
        </is>
      </c>
      <c r="E14" s="5" t="inlineStr">
        <is>
          <t>ELR05</t>
        </is>
      </c>
      <c r="F14" s="20" t="n">
        <v>300.645</v>
      </c>
      <c r="G14" s="20" t="n">
        <v>429.257</v>
      </c>
      <c r="H14" s="23" t="n">
        <v>0.7004</v>
      </c>
      <c r="I14" s="22" t="n">
        <v>14.9643</v>
      </c>
      <c r="J14" s="22" t="n">
        <v>8.07</v>
      </c>
      <c r="K14" s="22" t="n">
        <v>14.96</v>
      </c>
      <c r="L14" s="22" t="n">
        <v>18.8496</v>
      </c>
      <c r="M14" s="23" t="n">
        <v>0.794</v>
      </c>
      <c r="N14" s="5" t="inlineStr">
        <is>
          <t>info</t>
        </is>
      </c>
    </row>
    <row r="15">
      <c r="A15" s="5" t="inlineStr">
        <is>
          <t>VT1</t>
        </is>
      </c>
      <c r="B15" s="5" t="inlineStr">
        <is>
          <t>eje pilote tierra (info, nudo rígido)</t>
        </is>
      </c>
      <c r="C15" s="21" t="n">
        <v>3.45</v>
      </c>
      <c r="D15" s="5" t="inlineStr">
        <is>
          <t>top</t>
        </is>
      </c>
      <c r="E15" s="5" t="inlineStr">
        <is>
          <t>ELR20</t>
        </is>
      </c>
      <c r="F15" s="20" t="n">
        <v>-26.24</v>
      </c>
      <c r="G15" s="20" t="n">
        <v>362.568</v>
      </c>
      <c r="H15" s="23" t="n">
        <v>0.07240000000000001</v>
      </c>
      <c r="I15" s="22" t="n">
        <v>1.2607</v>
      </c>
      <c r="J15" s="22" t="n">
        <v>7.42</v>
      </c>
      <c r="K15" s="22" t="n">
        <v>1.26</v>
      </c>
      <c r="L15" s="22" t="n">
        <v>15.708</v>
      </c>
      <c r="M15" s="23" t="n">
        <v>0.08</v>
      </c>
      <c r="N15" s="5" t="inlineStr">
        <is>
          <t>info</t>
        </is>
      </c>
    </row>
    <row r="16">
      <c r="A16" s="5" t="inlineStr">
        <is>
          <t>VT2</t>
        </is>
      </c>
      <c r="B16" s="5" t="inlineStr">
        <is>
          <t>cara pilote mar - voladizo</t>
        </is>
      </c>
      <c r="C16" s="21" t="n">
        <v>-0.2</v>
      </c>
      <c r="D16" s="5" t="inlineStr">
        <is>
          <t>top</t>
        </is>
      </c>
      <c r="E16" s="5" t="inlineStr">
        <is>
          <t>ELR14</t>
        </is>
      </c>
      <c r="F16" s="20" t="n">
        <v>-10.007</v>
      </c>
      <c r="G16" s="20" t="n">
        <v>344.48</v>
      </c>
      <c r="H16" s="7" t="n">
        <v>0.029</v>
      </c>
      <c r="I16" s="22" t="n">
        <v>0.4801</v>
      </c>
      <c r="J16" s="22" t="n">
        <v>4.99</v>
      </c>
      <c r="K16" s="22" t="n">
        <v>4.99</v>
      </c>
      <c r="L16" s="22" t="n">
        <v>15.708</v>
      </c>
      <c r="M16" s="7" t="n">
        <v>0.318</v>
      </c>
      <c r="N16" s="5" t="inlineStr">
        <is>
          <t>sí</t>
        </is>
      </c>
    </row>
    <row r="17">
      <c r="A17" s="5" t="inlineStr">
        <is>
          <t>VT2</t>
        </is>
      </c>
      <c r="B17" s="5" t="inlineStr">
        <is>
          <t>cara pilote mar - vano</t>
        </is>
      </c>
      <c r="C17" s="21" t="n">
        <v>0.2</v>
      </c>
      <c r="D17" s="5" t="inlineStr">
        <is>
          <t>top</t>
        </is>
      </c>
      <c r="E17" s="5" t="inlineStr">
        <is>
          <t>ELR08</t>
        </is>
      </c>
      <c r="F17" s="20" t="n">
        <v>-265.234</v>
      </c>
      <c r="G17" s="20" t="n">
        <v>344.48</v>
      </c>
      <c r="H17" s="7" t="n">
        <v>0.77</v>
      </c>
      <c r="I17" s="22" t="n">
        <v>13.1396</v>
      </c>
      <c r="J17" s="22" t="n">
        <v>4.99</v>
      </c>
      <c r="K17" s="22" t="n">
        <v>13.14</v>
      </c>
      <c r="L17" s="22" t="n">
        <v>15.708</v>
      </c>
      <c r="M17" s="7" t="n">
        <v>0.836</v>
      </c>
      <c r="N17" s="5" t="inlineStr">
        <is>
          <t>sí</t>
        </is>
      </c>
    </row>
    <row r="18">
      <c r="A18" s="5" t="inlineStr">
        <is>
          <t>VT2</t>
        </is>
      </c>
      <c r="B18" s="5" t="inlineStr">
        <is>
          <t>cara pilote tierra - vano</t>
        </is>
      </c>
      <c r="C18" s="21" t="n">
        <v>3.25</v>
      </c>
      <c r="D18" s="5" t="inlineStr">
        <is>
          <t>bottom</t>
        </is>
      </c>
      <c r="E18" s="5" t="inlineStr">
        <is>
          <t>ELR08</t>
        </is>
      </c>
      <c r="F18" s="20" t="n">
        <v>261.388</v>
      </c>
      <c r="G18" s="20" t="n">
        <v>453.1</v>
      </c>
      <c r="H18" s="7" t="n">
        <v>0.5769</v>
      </c>
      <c r="I18" s="22" t="n">
        <v>13.2223</v>
      </c>
      <c r="J18" s="22" t="n">
        <v>6.25</v>
      </c>
      <c r="K18" s="22" t="n">
        <v>13.22</v>
      </c>
      <c r="L18" s="22" t="n">
        <v>21.9911</v>
      </c>
      <c r="M18" s="7" t="n">
        <v>0.601</v>
      </c>
      <c r="N18" s="5" t="inlineStr">
        <is>
          <t>sí</t>
        </is>
      </c>
    </row>
    <row r="19">
      <c r="A19" s="5" t="inlineStr">
        <is>
          <t>VT2</t>
        </is>
      </c>
      <c r="B19" s="5" t="inlineStr">
        <is>
          <t>cara pilote tierra - vano</t>
        </is>
      </c>
      <c r="C19" s="21" t="n">
        <v>3.25</v>
      </c>
      <c r="D19" s="5" t="inlineStr">
        <is>
          <t>top</t>
        </is>
      </c>
      <c r="E19" s="5" t="inlineStr">
        <is>
          <t>ELR17</t>
        </is>
      </c>
      <c r="F19" s="20" t="n">
        <v>-0.517</v>
      </c>
      <c r="G19" s="20" t="n">
        <v>344.48</v>
      </c>
      <c r="H19" s="7" t="n">
        <v>0.0015</v>
      </c>
      <c r="I19" s="22" t="n">
        <v>0.0248</v>
      </c>
      <c r="J19" s="22" t="n">
        <v>4.99</v>
      </c>
      <c r="K19" s="22" t="n">
        <v>4.99</v>
      </c>
      <c r="L19" s="22" t="n">
        <v>15.708</v>
      </c>
      <c r="M19" s="7" t="n">
        <v>0.318</v>
      </c>
      <c r="N19" s="5" t="inlineStr">
        <is>
          <t>sí</t>
        </is>
      </c>
    </row>
    <row r="20">
      <c r="A20" s="5" t="inlineStr">
        <is>
          <t>VT2</t>
        </is>
      </c>
      <c r="B20" s="5" t="inlineStr">
        <is>
          <t>cara pilote tierra - vuelo</t>
        </is>
      </c>
      <c r="C20" s="21" t="n">
        <v>3.65</v>
      </c>
      <c r="D20" s="5" t="inlineStr">
        <is>
          <t>bottom</t>
        </is>
      </c>
      <c r="E20" s="5" t="inlineStr">
        <is>
          <t>ELR20</t>
        </is>
      </c>
      <c r="F20" s="20" t="n">
        <v>5.15</v>
      </c>
      <c r="G20" s="20" t="n">
        <v>453.1</v>
      </c>
      <c r="H20" s="7" t="n">
        <v>0.0114</v>
      </c>
      <c r="I20" s="22" t="n">
        <v>0.247</v>
      </c>
      <c r="J20" s="22" t="n">
        <v>6.25</v>
      </c>
      <c r="K20" s="22" t="n">
        <v>6.25</v>
      </c>
      <c r="L20" s="22" t="n">
        <v>21.9911</v>
      </c>
      <c r="M20" s="7" t="n">
        <v>0.284</v>
      </c>
      <c r="N20" s="5" t="inlineStr">
        <is>
          <t>sí</t>
        </is>
      </c>
    </row>
    <row r="21">
      <c r="A21" s="5" t="inlineStr">
        <is>
          <t>VT2</t>
        </is>
      </c>
      <c r="B21" s="5" t="inlineStr">
        <is>
          <t>vano: máx. positivo</t>
        </is>
      </c>
      <c r="C21" s="21" t="n">
        <v>2.708</v>
      </c>
      <c r="D21" s="5" t="inlineStr">
        <is>
          <t>bottom</t>
        </is>
      </c>
      <c r="E21" s="5" t="inlineStr">
        <is>
          <t>ELR08</t>
        </is>
      </c>
      <c r="F21" s="20" t="n">
        <v>315.955</v>
      </c>
      <c r="G21" s="20" t="n">
        <v>453.1</v>
      </c>
      <c r="H21" s="7" t="n">
        <v>0.6973</v>
      </c>
      <c r="I21" s="22" t="n">
        <v>16.1845</v>
      </c>
      <c r="J21" s="22" t="n">
        <v>6.25</v>
      </c>
      <c r="K21" s="22" t="n">
        <v>16.18</v>
      </c>
      <c r="L21" s="22" t="n">
        <v>21.9911</v>
      </c>
      <c r="M21" s="7" t="n">
        <v>0.736</v>
      </c>
      <c r="N21" s="5" t="inlineStr">
        <is>
          <t>sí</t>
        </is>
      </c>
    </row>
    <row r="22">
      <c r="A22" s="5" t="inlineStr">
        <is>
          <t>VT2</t>
        </is>
      </c>
      <c r="B22" s="5" t="inlineStr">
        <is>
          <t>eje pilote mar (info, nudo rígido)</t>
        </is>
      </c>
      <c r="C22" s="21" t="n">
        <v>0</v>
      </c>
      <c r="D22" s="5" t="inlineStr">
        <is>
          <t>top</t>
        </is>
      </c>
      <c r="E22" s="5" t="inlineStr">
        <is>
          <t>ELR08</t>
        </is>
      </c>
      <c r="F22" s="20" t="n">
        <v>-373.323</v>
      </c>
      <c r="G22" s="20" t="n">
        <v>344.48</v>
      </c>
      <c r="H22" s="23" t="n">
        <v>1.0837</v>
      </c>
      <c r="I22" s="22" t="n">
        <v>18.7665</v>
      </c>
      <c r="J22" s="22" t="n">
        <v>4.99</v>
      </c>
      <c r="K22" s="22" t="n">
        <v>18.77</v>
      </c>
      <c r="L22" s="22" t="n">
        <v>15.708</v>
      </c>
      <c r="M22" s="23" t="n">
        <v>1.195</v>
      </c>
      <c r="N22" s="5" t="inlineStr">
        <is>
          <t>info</t>
        </is>
      </c>
    </row>
    <row r="23">
      <c r="A23" s="5" t="inlineStr">
        <is>
          <t>VT2</t>
        </is>
      </c>
      <c r="B23" s="5" t="inlineStr">
        <is>
          <t>eje pilote tierra (info, nudo rígido)</t>
        </is>
      </c>
      <c r="C23" s="21" t="n">
        <v>3.45</v>
      </c>
      <c r="D23" s="5" t="inlineStr">
        <is>
          <t>bottom</t>
        </is>
      </c>
      <c r="E23" s="5" t="inlineStr">
        <is>
          <t>ELR05</t>
        </is>
      </c>
      <c r="F23" s="20" t="n">
        <v>276.082</v>
      </c>
      <c r="G23" s="20" t="n">
        <v>453.1</v>
      </c>
      <c r="H23" s="23" t="n">
        <v>0.6093</v>
      </c>
      <c r="I23" s="22" t="n">
        <v>14.0122</v>
      </c>
      <c r="J23" s="22" t="n">
        <v>6.25</v>
      </c>
      <c r="K23" s="22" t="n">
        <v>14.01</v>
      </c>
      <c r="L23" s="22" t="n">
        <v>21.9911</v>
      </c>
      <c r="M23" s="23" t="n">
        <v>0.637</v>
      </c>
      <c r="N23" s="5" t="inlineStr">
        <is>
          <t>info</t>
        </is>
      </c>
    </row>
    <row r="24">
      <c r="A24" s="5" t="inlineStr">
        <is>
          <t>VT2</t>
        </is>
      </c>
      <c r="B24" s="5" t="inlineStr">
        <is>
          <t>eje pilote tierra (info, nudo rígido)</t>
        </is>
      </c>
      <c r="C24" s="21" t="n">
        <v>3.45</v>
      </c>
      <c r="D24" s="5" t="inlineStr">
        <is>
          <t>top</t>
        </is>
      </c>
      <c r="E24" s="5" t="inlineStr">
        <is>
          <t>ELR20</t>
        </is>
      </c>
      <c r="F24" s="20" t="n">
        <v>-67.29900000000001</v>
      </c>
      <c r="G24" s="20" t="n">
        <v>344.48</v>
      </c>
      <c r="H24" s="23" t="n">
        <v>0.1954</v>
      </c>
      <c r="I24" s="22" t="n">
        <v>3.2511</v>
      </c>
      <c r="J24" s="22" t="n">
        <v>4.99</v>
      </c>
      <c r="K24" s="22" t="n">
        <v>3.25</v>
      </c>
      <c r="L24" s="22" t="n">
        <v>15.708</v>
      </c>
      <c r="M24" s="23" t="n">
        <v>0.207</v>
      </c>
      <c r="N24" s="5" t="inlineStr">
        <is>
          <t>info</t>
        </is>
      </c>
    </row>
    <row r="25">
      <c r="A25" s="5" t="inlineStr">
        <is>
          <t>VT3</t>
        </is>
      </c>
      <c r="B25" s="5" t="inlineStr">
        <is>
          <t>cara pilote mar - voladizo</t>
        </is>
      </c>
      <c r="C25" s="21" t="n">
        <v>-0.2</v>
      </c>
      <c r="D25" s="5" t="inlineStr">
        <is>
          <t>bottom</t>
        </is>
      </c>
      <c r="E25" s="5" t="inlineStr">
        <is>
          <t>ELR17</t>
        </is>
      </c>
      <c r="F25" s="20" t="n">
        <v>10.594</v>
      </c>
      <c r="G25" s="20" t="n">
        <v>453.1</v>
      </c>
      <c r="H25" s="7" t="n">
        <v>0.0234</v>
      </c>
      <c r="I25" s="22" t="n">
        <v>0.5087</v>
      </c>
      <c r="J25" s="22" t="n">
        <v>6.25</v>
      </c>
      <c r="K25" s="22" t="n">
        <v>6.25</v>
      </c>
      <c r="L25" s="22" t="n">
        <v>21.9911</v>
      </c>
      <c r="M25" s="7" t="n">
        <v>0.284</v>
      </c>
      <c r="N25" s="5" t="inlineStr">
        <is>
          <t>sí</t>
        </is>
      </c>
    </row>
    <row r="26">
      <c r="A26" s="5" t="inlineStr">
        <is>
          <t>VT3</t>
        </is>
      </c>
      <c r="B26" s="5" t="inlineStr">
        <is>
          <t>cara pilote mar - voladizo</t>
        </is>
      </c>
      <c r="C26" s="21" t="n">
        <v>-0.2</v>
      </c>
      <c r="D26" s="5" t="inlineStr">
        <is>
          <t>top</t>
        </is>
      </c>
      <c r="E26" s="5" t="inlineStr">
        <is>
          <t>ELR08</t>
        </is>
      </c>
      <c r="F26" s="20" t="n">
        <v>-63.43</v>
      </c>
      <c r="G26" s="20" t="n">
        <v>344.48</v>
      </c>
      <c r="H26" s="7" t="n">
        <v>0.1841</v>
      </c>
      <c r="I26" s="22" t="n">
        <v>3.0627</v>
      </c>
      <c r="J26" s="22" t="n">
        <v>4.99</v>
      </c>
      <c r="K26" s="22" t="n">
        <v>4.99</v>
      </c>
      <c r="L26" s="22" t="n">
        <v>15.708</v>
      </c>
      <c r="M26" s="7" t="n">
        <v>0.318</v>
      </c>
      <c r="N26" s="5" t="inlineStr">
        <is>
          <t>sí</t>
        </is>
      </c>
    </row>
    <row r="27">
      <c r="A27" s="5" t="inlineStr">
        <is>
          <t>VT3</t>
        </is>
      </c>
      <c r="B27" s="5" t="inlineStr">
        <is>
          <t>cara pilote mar - vano</t>
        </is>
      </c>
      <c r="C27" s="21" t="n">
        <v>0.2</v>
      </c>
      <c r="D27" s="5" t="inlineStr">
        <is>
          <t>bottom</t>
        </is>
      </c>
      <c r="E27" s="5" t="inlineStr">
        <is>
          <t>ELR17</t>
        </is>
      </c>
      <c r="F27" s="20" t="n">
        <v>20.346</v>
      </c>
      <c r="G27" s="20" t="n">
        <v>453.1</v>
      </c>
      <c r="H27" s="7" t="n">
        <v>0.0449</v>
      </c>
      <c r="I27" s="22" t="n">
        <v>0.9788</v>
      </c>
      <c r="J27" s="22" t="n">
        <v>6.25</v>
      </c>
      <c r="K27" s="22" t="n">
        <v>6.25</v>
      </c>
      <c r="L27" s="22" t="n">
        <v>21.9911</v>
      </c>
      <c r="M27" s="7" t="n">
        <v>0.284</v>
      </c>
      <c r="N27" s="5" t="inlineStr">
        <is>
          <t>sí</t>
        </is>
      </c>
    </row>
    <row r="28">
      <c r="A28" s="5" t="inlineStr">
        <is>
          <t>VT3</t>
        </is>
      </c>
      <c r="B28" s="5" t="inlineStr">
        <is>
          <t>cara pilote mar - vano</t>
        </is>
      </c>
      <c r="C28" s="21" t="n">
        <v>0.2</v>
      </c>
      <c r="D28" s="5" t="inlineStr">
        <is>
          <t>top</t>
        </is>
      </c>
      <c r="E28" s="5" t="inlineStr">
        <is>
          <t>ELR08</t>
        </is>
      </c>
      <c r="F28" s="20" t="n">
        <v>-302.775</v>
      </c>
      <c r="G28" s="20" t="n">
        <v>344.48</v>
      </c>
      <c r="H28" s="7" t="n">
        <v>0.8789</v>
      </c>
      <c r="I28" s="22" t="n">
        <v>15.0746</v>
      </c>
      <c r="J28" s="22" t="n">
        <v>4.99</v>
      </c>
      <c r="K28" s="22" t="n">
        <v>15.07</v>
      </c>
      <c r="L28" s="22" t="n">
        <v>15.708</v>
      </c>
      <c r="M28" s="11" t="n">
        <v>0.96</v>
      </c>
      <c r="N28" s="5" t="inlineStr">
        <is>
          <t>sí</t>
        </is>
      </c>
    </row>
    <row r="29">
      <c r="A29" s="5" t="inlineStr">
        <is>
          <t>VT3</t>
        </is>
      </c>
      <c r="B29" s="5" t="inlineStr">
        <is>
          <t>cara pilote tierra - vano</t>
        </is>
      </c>
      <c r="C29" s="21" t="n">
        <v>3.25</v>
      </c>
      <c r="D29" s="5" t="inlineStr">
        <is>
          <t>bottom</t>
        </is>
      </c>
      <c r="E29" s="5" t="inlineStr">
        <is>
          <t>ELR08</t>
        </is>
      </c>
      <c r="F29" s="20" t="n">
        <v>258.227</v>
      </c>
      <c r="G29" s="20" t="n">
        <v>453.1</v>
      </c>
      <c r="H29" s="7" t="n">
        <v>0.5699</v>
      </c>
      <c r="I29" s="22" t="n">
        <v>13.0531</v>
      </c>
      <c r="J29" s="22" t="n">
        <v>6.25</v>
      </c>
      <c r="K29" s="22" t="n">
        <v>13.05</v>
      </c>
      <c r="L29" s="22" t="n">
        <v>21.9911</v>
      </c>
      <c r="M29" s="7" t="n">
        <v>0.594</v>
      </c>
      <c r="N29" s="5" t="inlineStr">
        <is>
          <t>sí</t>
        </is>
      </c>
    </row>
    <row r="30">
      <c r="A30" s="5" t="inlineStr">
        <is>
          <t>VT3</t>
        </is>
      </c>
      <c r="B30" s="5" t="inlineStr">
        <is>
          <t>cara pilote tierra - vano</t>
        </is>
      </c>
      <c r="C30" s="21" t="n">
        <v>3.25</v>
      </c>
      <c r="D30" s="5" t="inlineStr">
        <is>
          <t>top</t>
        </is>
      </c>
      <c r="E30" s="5" t="inlineStr">
        <is>
          <t>ELR17</t>
        </is>
      </c>
      <c r="F30" s="20" t="n">
        <v>-0.524</v>
      </c>
      <c r="G30" s="20" t="n">
        <v>344.48</v>
      </c>
      <c r="H30" s="7" t="n">
        <v>0.0015</v>
      </c>
      <c r="I30" s="22" t="n">
        <v>0.0251</v>
      </c>
      <c r="J30" s="22" t="n">
        <v>4.99</v>
      </c>
      <c r="K30" s="22" t="n">
        <v>4.99</v>
      </c>
      <c r="L30" s="22" t="n">
        <v>15.708</v>
      </c>
      <c r="M30" s="7" t="n">
        <v>0.318</v>
      </c>
      <c r="N30" s="5" t="inlineStr">
        <is>
          <t>sí</t>
        </is>
      </c>
    </row>
    <row r="31">
      <c r="A31" s="5" t="inlineStr">
        <is>
          <t>VT3</t>
        </is>
      </c>
      <c r="B31" s="5" t="inlineStr">
        <is>
          <t>cara pilote tierra - vuelo</t>
        </is>
      </c>
      <c r="C31" s="21" t="n">
        <v>3.65</v>
      </c>
      <c r="D31" s="5" t="inlineStr">
        <is>
          <t>bottom</t>
        </is>
      </c>
      <c r="E31" s="5" t="inlineStr">
        <is>
          <t>ELR14</t>
        </is>
      </c>
      <c r="F31" s="20" t="n">
        <v>4.209</v>
      </c>
      <c r="G31" s="20" t="n">
        <v>453.1</v>
      </c>
      <c r="H31" s="7" t="n">
        <v>0.009299999999999999</v>
      </c>
      <c r="I31" s="22" t="n">
        <v>0.2019</v>
      </c>
      <c r="J31" s="22" t="n">
        <v>6.25</v>
      </c>
      <c r="K31" s="22" t="n">
        <v>6.25</v>
      </c>
      <c r="L31" s="22" t="n">
        <v>21.9911</v>
      </c>
      <c r="M31" s="7" t="n">
        <v>0.284</v>
      </c>
      <c r="N31" s="5" t="inlineStr">
        <is>
          <t>sí</t>
        </is>
      </c>
    </row>
    <row r="32">
      <c r="A32" s="5" t="inlineStr">
        <is>
          <t>VT3</t>
        </is>
      </c>
      <c r="B32" s="5" t="inlineStr">
        <is>
          <t>vano: máx. positivo</t>
        </is>
      </c>
      <c r="C32" s="21" t="n">
        <v>2.708</v>
      </c>
      <c r="D32" s="5" t="inlineStr">
        <is>
          <t>bottom</t>
        </is>
      </c>
      <c r="E32" s="5" t="inlineStr">
        <is>
          <t>ELR08</t>
        </is>
      </c>
      <c r="F32" s="20" t="n">
        <v>292.696</v>
      </c>
      <c r="G32" s="20" t="n">
        <v>453.1</v>
      </c>
      <c r="H32" s="7" t="n">
        <v>0.646</v>
      </c>
      <c r="I32" s="22" t="n">
        <v>14.9122</v>
      </c>
      <c r="J32" s="22" t="n">
        <v>6.25</v>
      </c>
      <c r="K32" s="22" t="n">
        <v>14.91</v>
      </c>
      <c r="L32" s="22" t="n">
        <v>21.9911</v>
      </c>
      <c r="M32" s="7" t="n">
        <v>0.678</v>
      </c>
      <c r="N32" s="5" t="inlineStr">
        <is>
          <t>sí</t>
        </is>
      </c>
    </row>
    <row r="33">
      <c r="A33" s="5" t="inlineStr">
        <is>
          <t>VT3</t>
        </is>
      </c>
      <c r="B33" s="5" t="inlineStr">
        <is>
          <t>eje pilote mar (info, nudo rígido)</t>
        </is>
      </c>
      <c r="C33" s="21" t="n">
        <v>0</v>
      </c>
      <c r="D33" s="5" t="inlineStr">
        <is>
          <t>bottom</t>
        </is>
      </c>
      <c r="E33" s="5" t="inlineStr">
        <is>
          <t>ELR17</t>
        </is>
      </c>
      <c r="F33" s="20" t="n">
        <v>21.533</v>
      </c>
      <c r="G33" s="20" t="n">
        <v>453.1</v>
      </c>
      <c r="H33" s="23" t="n">
        <v>0.0475</v>
      </c>
      <c r="I33" s="22" t="n">
        <v>1.0361</v>
      </c>
      <c r="J33" s="22" t="n">
        <v>6.25</v>
      </c>
      <c r="K33" s="22" t="n">
        <v>1.04</v>
      </c>
      <c r="L33" s="22" t="n">
        <v>21.9911</v>
      </c>
      <c r="M33" s="23" t="n">
        <v>0.047</v>
      </c>
      <c r="N33" s="5" t="inlineStr">
        <is>
          <t>info</t>
        </is>
      </c>
    </row>
    <row r="34">
      <c r="A34" s="5" t="inlineStr">
        <is>
          <t>VT3</t>
        </is>
      </c>
      <c r="B34" s="5" t="inlineStr">
        <is>
          <t>eje pilote mar (info, nudo rígido)</t>
        </is>
      </c>
      <c r="C34" s="21" t="n">
        <v>0</v>
      </c>
      <c r="D34" s="5" t="inlineStr">
        <is>
          <t>top</t>
        </is>
      </c>
      <c r="E34" s="5" t="inlineStr">
        <is>
          <t>ELR08</t>
        </is>
      </c>
      <c r="F34" s="20" t="n">
        <v>-406.383</v>
      </c>
      <c r="G34" s="20" t="n">
        <v>344.48</v>
      </c>
      <c r="H34" s="23" t="n">
        <v>1.1797</v>
      </c>
      <c r="I34" s="22" t="n">
        <v>20.5227</v>
      </c>
      <c r="J34" s="22" t="n">
        <v>4.99</v>
      </c>
      <c r="K34" s="22" t="n">
        <v>20.52</v>
      </c>
      <c r="L34" s="22" t="n">
        <v>15.708</v>
      </c>
      <c r="M34" s="23" t="n">
        <v>1.307</v>
      </c>
      <c r="N34" s="5" t="inlineStr">
        <is>
          <t>info</t>
        </is>
      </c>
    </row>
    <row r="35">
      <c r="A35" s="5" t="inlineStr">
        <is>
          <t>VT3</t>
        </is>
      </c>
      <c r="B35" s="5" t="inlineStr">
        <is>
          <t>eje pilote tierra (info, nudo rígido)</t>
        </is>
      </c>
      <c r="C35" s="21" t="n">
        <v>3.45</v>
      </c>
      <c r="D35" s="5" t="inlineStr">
        <is>
          <t>bottom</t>
        </is>
      </c>
      <c r="E35" s="5" t="inlineStr">
        <is>
          <t>ELR05</t>
        </is>
      </c>
      <c r="F35" s="20" t="n">
        <v>276.635</v>
      </c>
      <c r="G35" s="20" t="n">
        <v>453.1</v>
      </c>
      <c r="H35" s="23" t="n">
        <v>0.6105</v>
      </c>
      <c r="I35" s="22" t="n">
        <v>14.0421</v>
      </c>
      <c r="J35" s="22" t="n">
        <v>6.25</v>
      </c>
      <c r="K35" s="22" t="n">
        <v>14.04</v>
      </c>
      <c r="L35" s="22" t="n">
        <v>21.9911</v>
      </c>
      <c r="M35" s="23" t="n">
        <v>0.639</v>
      </c>
      <c r="N35" s="5" t="inlineStr">
        <is>
          <t>info</t>
        </is>
      </c>
    </row>
    <row r="36">
      <c r="A36" s="5" t="inlineStr">
        <is>
          <t>VT3</t>
        </is>
      </c>
      <c r="B36" s="5" t="inlineStr">
        <is>
          <t>eje pilote tierra (info, nudo rígido)</t>
        </is>
      </c>
      <c r="C36" s="21" t="n">
        <v>3.45</v>
      </c>
      <c r="D36" s="5" t="inlineStr">
        <is>
          <t>top</t>
        </is>
      </c>
      <c r="E36" s="5" t="inlineStr">
        <is>
          <t>ELR20</t>
        </is>
      </c>
      <c r="F36" s="20" t="n">
        <v>-61.836</v>
      </c>
      <c r="G36" s="20" t="n">
        <v>344.48</v>
      </c>
      <c r="H36" s="23" t="n">
        <v>0.1795</v>
      </c>
      <c r="I36" s="22" t="n">
        <v>2.9852</v>
      </c>
      <c r="J36" s="22" t="n">
        <v>4.99</v>
      </c>
      <c r="K36" s="22" t="n">
        <v>2.99</v>
      </c>
      <c r="L36" s="22" t="n">
        <v>15.708</v>
      </c>
      <c r="M36" s="23" t="n">
        <v>0.19</v>
      </c>
      <c r="N36" s="5" t="inlineStr">
        <is>
          <t>info</t>
        </is>
      </c>
    </row>
    <row r="37">
      <c r="A37" s="5" t="inlineStr">
        <is>
          <t>VT4</t>
        </is>
      </c>
      <c r="B37" s="5" t="inlineStr">
        <is>
          <t>cara pilote mar - voladizo</t>
        </is>
      </c>
      <c r="C37" s="21" t="n">
        <v>-0.2</v>
      </c>
      <c r="D37" s="5" t="inlineStr">
        <is>
          <t>top</t>
        </is>
      </c>
      <c r="E37" s="5" t="inlineStr">
        <is>
          <t>ELR14</t>
        </is>
      </c>
      <c r="F37" s="20" t="n">
        <v>-9.561</v>
      </c>
      <c r="G37" s="20" t="n">
        <v>344.48</v>
      </c>
      <c r="H37" s="7" t="n">
        <v>0.0278</v>
      </c>
      <c r="I37" s="22" t="n">
        <v>0.4587</v>
      </c>
      <c r="J37" s="22" t="n">
        <v>4.99</v>
      </c>
      <c r="K37" s="22" t="n">
        <v>4.99</v>
      </c>
      <c r="L37" s="22" t="n">
        <v>15.708</v>
      </c>
      <c r="M37" s="7" t="n">
        <v>0.318</v>
      </c>
      <c r="N37" s="5" t="inlineStr">
        <is>
          <t>sí</t>
        </is>
      </c>
    </row>
    <row r="38">
      <c r="A38" s="5" t="inlineStr">
        <is>
          <t>VT4</t>
        </is>
      </c>
      <c r="B38" s="5" t="inlineStr">
        <is>
          <t>cara pilote mar - vano</t>
        </is>
      </c>
      <c r="C38" s="21" t="n">
        <v>0.2</v>
      </c>
      <c r="D38" s="5" t="inlineStr">
        <is>
          <t>top</t>
        </is>
      </c>
      <c r="E38" s="5" t="inlineStr">
        <is>
          <t>ELR08</t>
        </is>
      </c>
      <c r="F38" s="20" t="n">
        <v>-256.243</v>
      </c>
      <c r="G38" s="20" t="n">
        <v>344.48</v>
      </c>
      <c r="H38" s="7" t="n">
        <v>0.7439</v>
      </c>
      <c r="I38" s="22" t="n">
        <v>12.6791</v>
      </c>
      <c r="J38" s="22" t="n">
        <v>4.99</v>
      </c>
      <c r="K38" s="22" t="n">
        <v>12.68</v>
      </c>
      <c r="L38" s="22" t="n">
        <v>15.708</v>
      </c>
      <c r="M38" s="7" t="n">
        <v>0.8070000000000001</v>
      </c>
      <c r="N38" s="5" t="inlineStr">
        <is>
          <t>sí</t>
        </is>
      </c>
    </row>
    <row r="39">
      <c r="A39" s="5" t="inlineStr">
        <is>
          <t>VT4</t>
        </is>
      </c>
      <c r="B39" s="5" t="inlineStr">
        <is>
          <t>cara pilote tierra - vano</t>
        </is>
      </c>
      <c r="C39" s="21" t="n">
        <v>3.25</v>
      </c>
      <c r="D39" s="5" t="inlineStr">
        <is>
          <t>bottom</t>
        </is>
      </c>
      <c r="E39" s="5" t="inlineStr">
        <is>
          <t>ELR08</t>
        </is>
      </c>
      <c r="F39" s="20" t="n">
        <v>252.276</v>
      </c>
      <c r="G39" s="20" t="n">
        <v>453.1</v>
      </c>
      <c r="H39" s="7" t="n">
        <v>0.5568</v>
      </c>
      <c r="I39" s="22" t="n">
        <v>12.7353</v>
      </c>
      <c r="J39" s="22" t="n">
        <v>6.25</v>
      </c>
      <c r="K39" s="22" t="n">
        <v>12.74</v>
      </c>
      <c r="L39" s="22" t="n">
        <v>21.9911</v>
      </c>
      <c r="M39" s="7" t="n">
        <v>0.579</v>
      </c>
      <c r="N39" s="5" t="inlineStr">
        <is>
          <t>sí</t>
        </is>
      </c>
    </row>
    <row r="40">
      <c r="A40" s="5" t="inlineStr">
        <is>
          <t>VT4</t>
        </is>
      </c>
      <c r="B40" s="5" t="inlineStr">
        <is>
          <t>cara pilote tierra - vano</t>
        </is>
      </c>
      <c r="C40" s="21" t="n">
        <v>3.25</v>
      </c>
      <c r="D40" s="5" t="inlineStr">
        <is>
          <t>top</t>
        </is>
      </c>
      <c r="E40" s="5" t="inlineStr">
        <is>
          <t>ELR17</t>
        </is>
      </c>
      <c r="F40" s="20" t="n">
        <v>-0.554</v>
      </c>
      <c r="G40" s="20" t="n">
        <v>344.48</v>
      </c>
      <c r="H40" s="7" t="n">
        <v>0.0016</v>
      </c>
      <c r="I40" s="22" t="n">
        <v>0.0265</v>
      </c>
      <c r="J40" s="22" t="n">
        <v>4.99</v>
      </c>
      <c r="K40" s="22" t="n">
        <v>4.99</v>
      </c>
      <c r="L40" s="22" t="n">
        <v>15.708</v>
      </c>
      <c r="M40" s="7" t="n">
        <v>0.318</v>
      </c>
      <c r="N40" s="5" t="inlineStr">
        <is>
          <t>sí</t>
        </is>
      </c>
    </row>
    <row r="41">
      <c r="A41" s="5" t="inlineStr">
        <is>
          <t>VT4</t>
        </is>
      </c>
      <c r="B41" s="5" t="inlineStr">
        <is>
          <t>cara pilote tierra - vuelo</t>
        </is>
      </c>
      <c r="C41" s="21" t="n">
        <v>3.65</v>
      </c>
      <c r="D41" s="5" t="inlineStr">
        <is>
          <t>bottom</t>
        </is>
      </c>
      <c r="E41" s="5" t="inlineStr">
        <is>
          <t>ELR20</t>
        </is>
      </c>
      <c r="F41" s="20" t="n">
        <v>4.228</v>
      </c>
      <c r="G41" s="20" t="n">
        <v>453.1</v>
      </c>
      <c r="H41" s="7" t="n">
        <v>0.009299999999999999</v>
      </c>
      <c r="I41" s="22" t="n">
        <v>0.2028</v>
      </c>
      <c r="J41" s="22" t="n">
        <v>6.25</v>
      </c>
      <c r="K41" s="22" t="n">
        <v>6.25</v>
      </c>
      <c r="L41" s="22" t="n">
        <v>21.9911</v>
      </c>
      <c r="M41" s="7" t="n">
        <v>0.284</v>
      </c>
      <c r="N41" s="5" t="inlineStr">
        <is>
          <t>sí</t>
        </is>
      </c>
    </row>
    <row r="42">
      <c r="A42" s="5" t="inlineStr">
        <is>
          <t>VT4</t>
        </is>
      </c>
      <c r="B42" s="5" t="inlineStr">
        <is>
          <t>vano: máx. positivo</t>
        </is>
      </c>
      <c r="C42" s="21" t="n">
        <v>2.708</v>
      </c>
      <c r="D42" s="5" t="inlineStr">
        <is>
          <t>bottom</t>
        </is>
      </c>
      <c r="E42" s="5" t="inlineStr">
        <is>
          <t>ELR08</t>
        </is>
      </c>
      <c r="F42" s="20" t="n">
        <v>298.463</v>
      </c>
      <c r="G42" s="20" t="n">
        <v>453.1</v>
      </c>
      <c r="H42" s="7" t="n">
        <v>0.6587</v>
      </c>
      <c r="I42" s="22" t="n">
        <v>15.2263</v>
      </c>
      <c r="J42" s="22" t="n">
        <v>6.25</v>
      </c>
      <c r="K42" s="22" t="n">
        <v>15.23</v>
      </c>
      <c r="L42" s="22" t="n">
        <v>21.9911</v>
      </c>
      <c r="M42" s="7" t="n">
        <v>0.6919999999999999</v>
      </c>
      <c r="N42" s="5" t="inlineStr">
        <is>
          <t>sí</t>
        </is>
      </c>
    </row>
    <row r="43">
      <c r="A43" s="5" t="inlineStr">
        <is>
          <t>VT4</t>
        </is>
      </c>
      <c r="B43" s="5" t="inlineStr">
        <is>
          <t>eje pilote mar (info, nudo rígido)</t>
        </is>
      </c>
      <c r="C43" s="21" t="n">
        <v>0</v>
      </c>
      <c r="D43" s="5" t="inlineStr">
        <is>
          <t>top</t>
        </is>
      </c>
      <c r="E43" s="5" t="inlineStr">
        <is>
          <t>ELR08</t>
        </is>
      </c>
      <c r="F43" s="20" t="n">
        <v>-357.463</v>
      </c>
      <c r="G43" s="20" t="n">
        <v>344.48</v>
      </c>
      <c r="H43" s="23" t="n">
        <v>1.0377</v>
      </c>
      <c r="I43" s="22" t="n">
        <v>17.93</v>
      </c>
      <c r="J43" s="22" t="n">
        <v>4.99</v>
      </c>
      <c r="K43" s="22" t="n">
        <v>17.93</v>
      </c>
      <c r="L43" s="22" t="n">
        <v>15.708</v>
      </c>
      <c r="M43" s="23" t="n">
        <v>1.141</v>
      </c>
      <c r="N43" s="5" t="inlineStr">
        <is>
          <t>info</t>
        </is>
      </c>
    </row>
    <row r="44">
      <c r="A44" s="5" t="inlineStr">
        <is>
          <t>VT4</t>
        </is>
      </c>
      <c r="B44" s="5" t="inlineStr">
        <is>
          <t>eje pilote tierra (info, nudo rígido)</t>
        </is>
      </c>
      <c r="C44" s="21" t="n">
        <v>3.45</v>
      </c>
      <c r="D44" s="5" t="inlineStr">
        <is>
          <t>bottom</t>
        </is>
      </c>
      <c r="E44" s="5" t="inlineStr">
        <is>
          <t>ELR05</t>
        </is>
      </c>
      <c r="F44" s="20" t="n">
        <v>267.256</v>
      </c>
      <c r="G44" s="20" t="n">
        <v>453.1</v>
      </c>
      <c r="H44" s="23" t="n">
        <v>0.5898</v>
      </c>
      <c r="I44" s="22" t="n">
        <v>13.5371</v>
      </c>
      <c r="J44" s="22" t="n">
        <v>6.25</v>
      </c>
      <c r="K44" s="22" t="n">
        <v>13.54</v>
      </c>
      <c r="L44" s="22" t="n">
        <v>21.9911</v>
      </c>
      <c r="M44" s="23" t="n">
        <v>0.616</v>
      </c>
      <c r="N44" s="5" t="inlineStr">
        <is>
          <t>info</t>
        </is>
      </c>
    </row>
    <row r="45">
      <c r="A45" s="5" t="inlineStr">
        <is>
          <t>VT4</t>
        </is>
      </c>
      <c r="B45" s="5" t="inlineStr">
        <is>
          <t>eje pilote tierra (info, nudo rígido)</t>
        </is>
      </c>
      <c r="C45" s="21" t="n">
        <v>3.45</v>
      </c>
      <c r="D45" s="5" t="inlineStr">
        <is>
          <t>top</t>
        </is>
      </c>
      <c r="E45" s="5" t="inlineStr">
        <is>
          <t>ELR20</t>
        </is>
      </c>
      <c r="F45" s="20" t="n">
        <v>-62.269</v>
      </c>
      <c r="G45" s="20" t="n">
        <v>344.48</v>
      </c>
      <c r="H45" s="23" t="n">
        <v>0.1808</v>
      </c>
      <c r="I45" s="22" t="n">
        <v>3.0063</v>
      </c>
      <c r="J45" s="22" t="n">
        <v>4.99</v>
      </c>
      <c r="K45" s="22" t="n">
        <v>3.01</v>
      </c>
      <c r="L45" s="22" t="n">
        <v>15.708</v>
      </c>
      <c r="M45" s="23" t="n">
        <v>0.191</v>
      </c>
      <c r="N45" s="5" t="inlineStr">
        <is>
          <t>info</t>
        </is>
      </c>
    </row>
    <row r="46">
      <c r="A46" s="5" t="inlineStr">
        <is>
          <t>VT5</t>
        </is>
      </c>
      <c r="B46" s="5" t="inlineStr">
        <is>
          <t>cara pilote mar - voladizo</t>
        </is>
      </c>
      <c r="C46" s="21" t="n">
        <v>-0.2</v>
      </c>
      <c r="D46" s="5" t="inlineStr">
        <is>
          <t>bottom</t>
        </is>
      </c>
      <c r="E46" s="5" t="inlineStr">
        <is>
          <t>ELR17</t>
        </is>
      </c>
      <c r="F46" s="20" t="n">
        <v>10.594</v>
      </c>
      <c r="G46" s="20" t="n">
        <v>453.1</v>
      </c>
      <c r="H46" s="7" t="n">
        <v>0.0234</v>
      </c>
      <c r="I46" s="22" t="n">
        <v>0.5087</v>
      </c>
      <c r="J46" s="22" t="n">
        <v>6.25</v>
      </c>
      <c r="K46" s="22" t="n">
        <v>6.25</v>
      </c>
      <c r="L46" s="22" t="n">
        <v>21.9911</v>
      </c>
      <c r="M46" s="7" t="n">
        <v>0.284</v>
      </c>
      <c r="N46" s="5" t="inlineStr">
        <is>
          <t>sí</t>
        </is>
      </c>
    </row>
    <row r="47">
      <c r="A47" s="5" t="inlineStr">
        <is>
          <t>VT5</t>
        </is>
      </c>
      <c r="B47" s="5" t="inlineStr">
        <is>
          <t>cara pilote mar - voladizo</t>
        </is>
      </c>
      <c r="C47" s="21" t="n">
        <v>-0.2</v>
      </c>
      <c r="D47" s="5" t="inlineStr">
        <is>
          <t>top</t>
        </is>
      </c>
      <c r="E47" s="5" t="inlineStr">
        <is>
          <t>ELR08</t>
        </is>
      </c>
      <c r="F47" s="20" t="n">
        <v>-63.451</v>
      </c>
      <c r="G47" s="20" t="n">
        <v>344.48</v>
      </c>
      <c r="H47" s="7" t="n">
        <v>0.1842</v>
      </c>
      <c r="I47" s="22" t="n">
        <v>3.0638</v>
      </c>
      <c r="J47" s="22" t="n">
        <v>4.99</v>
      </c>
      <c r="K47" s="22" t="n">
        <v>4.99</v>
      </c>
      <c r="L47" s="22" t="n">
        <v>15.708</v>
      </c>
      <c r="M47" s="7" t="n">
        <v>0.318</v>
      </c>
      <c r="N47" s="5" t="inlineStr">
        <is>
          <t>sí</t>
        </is>
      </c>
    </row>
    <row r="48">
      <c r="A48" s="5" t="inlineStr">
        <is>
          <t>VT5</t>
        </is>
      </c>
      <c r="B48" s="5" t="inlineStr">
        <is>
          <t>cara pilote mar - vano</t>
        </is>
      </c>
      <c r="C48" s="21" t="n">
        <v>0.2</v>
      </c>
      <c r="D48" s="5" t="inlineStr">
        <is>
          <t>bottom</t>
        </is>
      </c>
      <c r="E48" s="5" t="inlineStr">
        <is>
          <t>ELR17</t>
        </is>
      </c>
      <c r="F48" s="20" t="n">
        <v>20.346</v>
      </c>
      <c r="G48" s="20" t="n">
        <v>453.1</v>
      </c>
      <c r="H48" s="7" t="n">
        <v>0.0449</v>
      </c>
      <c r="I48" s="22" t="n">
        <v>0.9788</v>
      </c>
      <c r="J48" s="22" t="n">
        <v>6.25</v>
      </c>
      <c r="K48" s="22" t="n">
        <v>6.25</v>
      </c>
      <c r="L48" s="22" t="n">
        <v>21.9911</v>
      </c>
      <c r="M48" s="7" t="n">
        <v>0.284</v>
      </c>
      <c r="N48" s="5" t="inlineStr">
        <is>
          <t>sí</t>
        </is>
      </c>
    </row>
    <row r="49">
      <c r="A49" s="5" t="inlineStr">
        <is>
          <t>VT5</t>
        </is>
      </c>
      <c r="B49" s="5" t="inlineStr">
        <is>
          <t>cara pilote mar - vano</t>
        </is>
      </c>
      <c r="C49" s="21" t="n">
        <v>0.2</v>
      </c>
      <c r="D49" s="5" t="inlineStr">
        <is>
          <t>top</t>
        </is>
      </c>
      <c r="E49" s="5" t="inlineStr">
        <is>
          <t>ELR08</t>
        </is>
      </c>
      <c r="F49" s="20" t="n">
        <v>-293.961</v>
      </c>
      <c r="G49" s="20" t="n">
        <v>344.48</v>
      </c>
      <c r="H49" s="7" t="n">
        <v>0.8532999999999999</v>
      </c>
      <c r="I49" s="22" t="n">
        <v>14.6185</v>
      </c>
      <c r="J49" s="22" t="n">
        <v>4.99</v>
      </c>
      <c r="K49" s="22" t="n">
        <v>14.62</v>
      </c>
      <c r="L49" s="22" t="n">
        <v>15.708</v>
      </c>
      <c r="M49" s="7" t="n">
        <v>0.931</v>
      </c>
      <c r="N49" s="5" t="inlineStr">
        <is>
          <t>sí</t>
        </is>
      </c>
    </row>
    <row r="50">
      <c r="A50" s="5" t="inlineStr">
        <is>
          <t>VT5</t>
        </is>
      </c>
      <c r="B50" s="5" t="inlineStr">
        <is>
          <t>cara pilote tierra - vano</t>
        </is>
      </c>
      <c r="C50" s="21" t="n">
        <v>3.25</v>
      </c>
      <c r="D50" s="5" t="inlineStr">
        <is>
          <t>bottom</t>
        </is>
      </c>
      <c r="E50" s="5" t="inlineStr">
        <is>
          <t>ELR08</t>
        </is>
      </c>
      <c r="F50" s="20" t="n">
        <v>249.45</v>
      </c>
      <c r="G50" s="20" t="n">
        <v>453.1</v>
      </c>
      <c r="H50" s="7" t="n">
        <v>0.5505</v>
      </c>
      <c r="I50" s="22" t="n">
        <v>12.5846</v>
      </c>
      <c r="J50" s="22" t="n">
        <v>6.25</v>
      </c>
      <c r="K50" s="22" t="n">
        <v>12.58</v>
      </c>
      <c r="L50" s="22" t="n">
        <v>21.9911</v>
      </c>
      <c r="M50" s="7" t="n">
        <v>0.572</v>
      </c>
      <c r="N50" s="5" t="inlineStr">
        <is>
          <t>sí</t>
        </is>
      </c>
    </row>
    <row r="51">
      <c r="A51" s="5" t="inlineStr">
        <is>
          <t>VT5</t>
        </is>
      </c>
      <c r="B51" s="5" t="inlineStr">
        <is>
          <t>cara pilote tierra - vano</t>
        </is>
      </c>
      <c r="C51" s="21" t="n">
        <v>3.25</v>
      </c>
      <c r="D51" s="5" t="inlineStr">
        <is>
          <t>top</t>
        </is>
      </c>
      <c r="E51" s="5" t="inlineStr">
        <is>
          <t>ELR17</t>
        </is>
      </c>
      <c r="F51" s="20" t="n">
        <v>-0.524</v>
      </c>
      <c r="G51" s="20" t="n">
        <v>344.48</v>
      </c>
      <c r="H51" s="7" t="n">
        <v>0.0015</v>
      </c>
      <c r="I51" s="22" t="n">
        <v>0.0251</v>
      </c>
      <c r="J51" s="22" t="n">
        <v>4.99</v>
      </c>
      <c r="K51" s="22" t="n">
        <v>4.99</v>
      </c>
      <c r="L51" s="22" t="n">
        <v>15.708</v>
      </c>
      <c r="M51" s="7" t="n">
        <v>0.318</v>
      </c>
      <c r="N51" s="5" t="inlineStr">
        <is>
          <t>sí</t>
        </is>
      </c>
    </row>
    <row r="52">
      <c r="A52" s="5" t="inlineStr">
        <is>
          <t>VT5</t>
        </is>
      </c>
      <c r="B52" s="5" t="inlineStr">
        <is>
          <t>cara pilote tierra - vuelo</t>
        </is>
      </c>
      <c r="C52" s="21" t="n">
        <v>3.65</v>
      </c>
      <c r="D52" s="5" t="inlineStr">
        <is>
          <t>bottom</t>
        </is>
      </c>
      <c r="E52" s="5" t="inlineStr">
        <is>
          <t>ELR14</t>
        </is>
      </c>
      <c r="F52" s="20" t="n">
        <v>4.209</v>
      </c>
      <c r="G52" s="20" t="n">
        <v>453.1</v>
      </c>
      <c r="H52" s="7" t="n">
        <v>0.009299999999999999</v>
      </c>
      <c r="I52" s="22" t="n">
        <v>0.2019</v>
      </c>
      <c r="J52" s="22" t="n">
        <v>6.25</v>
      </c>
      <c r="K52" s="22" t="n">
        <v>6.25</v>
      </c>
      <c r="L52" s="22" t="n">
        <v>21.9911</v>
      </c>
      <c r="M52" s="7" t="n">
        <v>0.284</v>
      </c>
      <c r="N52" s="5" t="inlineStr">
        <is>
          <t>sí</t>
        </is>
      </c>
    </row>
    <row r="53">
      <c r="A53" s="5" t="inlineStr">
        <is>
          <t>VT5</t>
        </is>
      </c>
      <c r="B53" s="5" t="inlineStr">
        <is>
          <t>vano: máx. positivo</t>
        </is>
      </c>
      <c r="C53" s="21" t="n">
        <v>2.708</v>
      </c>
      <c r="D53" s="5" t="inlineStr">
        <is>
          <t>bottom</t>
        </is>
      </c>
      <c r="E53" s="5" t="inlineStr">
        <is>
          <t>ELR08</t>
        </is>
      </c>
      <c r="F53" s="20" t="n">
        <v>287.063</v>
      </c>
      <c r="G53" s="20" t="n">
        <v>453.1</v>
      </c>
      <c r="H53" s="7" t="n">
        <v>0.6336000000000001</v>
      </c>
      <c r="I53" s="22" t="n">
        <v>14.6062</v>
      </c>
      <c r="J53" s="22" t="n">
        <v>6.25</v>
      </c>
      <c r="K53" s="22" t="n">
        <v>14.61</v>
      </c>
      <c r="L53" s="22" t="n">
        <v>21.9911</v>
      </c>
      <c r="M53" s="7" t="n">
        <v>0.664</v>
      </c>
      <c r="N53" s="5" t="inlineStr">
        <is>
          <t>sí</t>
        </is>
      </c>
    </row>
    <row r="54">
      <c r="A54" s="5" t="inlineStr">
        <is>
          <t>VT5</t>
        </is>
      </c>
      <c r="B54" s="5" t="inlineStr">
        <is>
          <t>eje pilote mar (info, nudo rígido)</t>
        </is>
      </c>
      <c r="C54" s="21" t="n">
        <v>0</v>
      </c>
      <c r="D54" s="5" t="inlineStr">
        <is>
          <t>bottom</t>
        </is>
      </c>
      <c r="E54" s="5" t="inlineStr">
        <is>
          <t>ELR17</t>
        </is>
      </c>
      <c r="F54" s="20" t="n">
        <v>21.533</v>
      </c>
      <c r="G54" s="20" t="n">
        <v>453.1</v>
      </c>
      <c r="H54" s="23" t="n">
        <v>0.0475</v>
      </c>
      <c r="I54" s="22" t="n">
        <v>1.0361</v>
      </c>
      <c r="J54" s="22" t="n">
        <v>6.25</v>
      </c>
      <c r="K54" s="22" t="n">
        <v>1.04</v>
      </c>
      <c r="L54" s="22" t="n">
        <v>21.9911</v>
      </c>
      <c r="M54" s="23" t="n">
        <v>0.047</v>
      </c>
      <c r="N54" s="5" t="inlineStr">
        <is>
          <t>info</t>
        </is>
      </c>
    </row>
    <row r="55">
      <c r="A55" s="5" t="inlineStr">
        <is>
          <t>VT5</t>
        </is>
      </c>
      <c r="B55" s="5" t="inlineStr">
        <is>
          <t>eje pilote mar (info, nudo rígido)</t>
        </is>
      </c>
      <c r="C55" s="21" t="n">
        <v>0</v>
      </c>
      <c r="D55" s="5" t="inlineStr">
        <is>
          <t>top</t>
        </is>
      </c>
      <c r="E55" s="5" t="inlineStr">
        <is>
          <t>ELR08</t>
        </is>
      </c>
      <c r="F55" s="20" t="n">
        <v>-396.371</v>
      </c>
      <c r="G55" s="20" t="n">
        <v>344.48</v>
      </c>
      <c r="H55" s="23" t="n">
        <v>1.1506</v>
      </c>
      <c r="I55" s="22" t="n">
        <v>19.9891</v>
      </c>
      <c r="J55" s="22" t="n">
        <v>4.99</v>
      </c>
      <c r="K55" s="22" t="n">
        <v>19.99</v>
      </c>
      <c r="L55" s="22" t="n">
        <v>15.708</v>
      </c>
      <c r="M55" s="23" t="n">
        <v>1.273</v>
      </c>
      <c r="N55" s="5" t="inlineStr">
        <is>
          <t>info</t>
        </is>
      </c>
    </row>
    <row r="56">
      <c r="A56" s="5" t="inlineStr">
        <is>
          <t>VT5</t>
        </is>
      </c>
      <c r="B56" s="5" t="inlineStr">
        <is>
          <t>eje pilote tierra (info, nudo rígido)</t>
        </is>
      </c>
      <c r="C56" s="21" t="n">
        <v>3.45</v>
      </c>
      <c r="D56" s="5" t="inlineStr">
        <is>
          <t>bottom</t>
        </is>
      </c>
      <c r="E56" s="5" t="inlineStr">
        <is>
          <t>ELR05</t>
        </is>
      </c>
      <c r="F56" s="20" t="n">
        <v>266.619</v>
      </c>
      <c r="G56" s="20" t="n">
        <v>453.1</v>
      </c>
      <c r="H56" s="23" t="n">
        <v>0.5884</v>
      </c>
      <c r="I56" s="22" t="n">
        <v>13.5029</v>
      </c>
      <c r="J56" s="22" t="n">
        <v>6.25</v>
      </c>
      <c r="K56" s="22" t="n">
        <v>13.5</v>
      </c>
      <c r="L56" s="22" t="n">
        <v>21.9911</v>
      </c>
      <c r="M56" s="23" t="n">
        <v>0.614</v>
      </c>
      <c r="N56" s="5" t="inlineStr">
        <is>
          <t>info</t>
        </is>
      </c>
    </row>
    <row r="57">
      <c r="A57" s="5" t="inlineStr">
        <is>
          <t>VT5</t>
        </is>
      </c>
      <c r="B57" s="5" t="inlineStr">
        <is>
          <t>eje pilote tierra (info, nudo rígido)</t>
        </is>
      </c>
      <c r="C57" s="21" t="n">
        <v>3.45</v>
      </c>
      <c r="D57" s="5" t="inlineStr">
        <is>
          <t>top</t>
        </is>
      </c>
      <c r="E57" s="5" t="inlineStr">
        <is>
          <t>ELR20</t>
        </is>
      </c>
      <c r="F57" s="20" t="n">
        <v>-61.836</v>
      </c>
      <c r="G57" s="20" t="n">
        <v>344.48</v>
      </c>
      <c r="H57" s="23" t="n">
        <v>0.1795</v>
      </c>
      <c r="I57" s="22" t="n">
        <v>2.9852</v>
      </c>
      <c r="J57" s="22" t="n">
        <v>4.99</v>
      </c>
      <c r="K57" s="22" t="n">
        <v>2.99</v>
      </c>
      <c r="L57" s="22" t="n">
        <v>15.708</v>
      </c>
      <c r="M57" s="23" t="n">
        <v>0.19</v>
      </c>
      <c r="N57" s="5" t="inlineStr">
        <is>
          <t>info</t>
        </is>
      </c>
    </row>
    <row r="58">
      <c r="A58" s="5" t="inlineStr">
        <is>
          <t>VT6</t>
        </is>
      </c>
      <c r="B58" s="5" t="inlineStr">
        <is>
          <t>cara pilote mar - voladizo</t>
        </is>
      </c>
      <c r="C58" s="21" t="n">
        <v>-0.2</v>
      </c>
      <c r="D58" s="5" t="inlineStr">
        <is>
          <t>top</t>
        </is>
      </c>
      <c r="E58" s="5" t="inlineStr">
        <is>
          <t>ELR14</t>
        </is>
      </c>
      <c r="F58" s="20" t="n">
        <v>-10.007</v>
      </c>
      <c r="G58" s="20" t="n">
        <v>344.48</v>
      </c>
      <c r="H58" s="7" t="n">
        <v>0.029</v>
      </c>
      <c r="I58" s="22" t="n">
        <v>0.4801</v>
      </c>
      <c r="J58" s="22" t="n">
        <v>4.99</v>
      </c>
      <c r="K58" s="22" t="n">
        <v>4.99</v>
      </c>
      <c r="L58" s="22" t="n">
        <v>15.708</v>
      </c>
      <c r="M58" s="7" t="n">
        <v>0.318</v>
      </c>
      <c r="N58" s="5" t="inlineStr">
        <is>
          <t>sí</t>
        </is>
      </c>
    </row>
    <row r="59">
      <c r="A59" s="5" t="inlineStr">
        <is>
          <t>VT6</t>
        </is>
      </c>
      <c r="B59" s="5" t="inlineStr">
        <is>
          <t>cara pilote mar - vano</t>
        </is>
      </c>
      <c r="C59" s="21" t="n">
        <v>0.2</v>
      </c>
      <c r="D59" s="5" t="inlineStr">
        <is>
          <t>top</t>
        </is>
      </c>
      <c r="E59" s="5" t="inlineStr">
        <is>
          <t>ELR08</t>
        </is>
      </c>
      <c r="F59" s="20" t="n">
        <v>-247.608</v>
      </c>
      <c r="G59" s="20" t="n">
        <v>344.48</v>
      </c>
      <c r="H59" s="7" t="n">
        <v>0.7188</v>
      </c>
      <c r="I59" s="22" t="n">
        <v>12.238</v>
      </c>
      <c r="J59" s="22" t="n">
        <v>4.99</v>
      </c>
      <c r="K59" s="22" t="n">
        <v>12.24</v>
      </c>
      <c r="L59" s="22" t="n">
        <v>15.708</v>
      </c>
      <c r="M59" s="7" t="n">
        <v>0.779</v>
      </c>
      <c r="N59" s="5" t="inlineStr">
        <is>
          <t>sí</t>
        </is>
      </c>
    </row>
    <row r="60">
      <c r="A60" s="5" t="inlineStr">
        <is>
          <t>VT6</t>
        </is>
      </c>
      <c r="B60" s="5" t="inlineStr">
        <is>
          <t>cara pilote tierra - vano</t>
        </is>
      </c>
      <c r="C60" s="21" t="n">
        <v>3.25</v>
      </c>
      <c r="D60" s="5" t="inlineStr">
        <is>
          <t>bottom</t>
        </is>
      </c>
      <c r="E60" s="5" t="inlineStr">
        <is>
          <t>ELR08</t>
        </is>
      </c>
      <c r="F60" s="20" t="n">
        <v>243.839</v>
      </c>
      <c r="G60" s="20" t="n">
        <v>453.1</v>
      </c>
      <c r="H60" s="7" t="n">
        <v>0.5382</v>
      </c>
      <c r="I60" s="22" t="n">
        <v>12.2861</v>
      </c>
      <c r="J60" s="22" t="n">
        <v>6.25</v>
      </c>
      <c r="K60" s="22" t="n">
        <v>12.29</v>
      </c>
      <c r="L60" s="22" t="n">
        <v>21.9911</v>
      </c>
      <c r="M60" s="7" t="n">
        <v>0.5590000000000001</v>
      </c>
      <c r="N60" s="5" t="inlineStr">
        <is>
          <t>sí</t>
        </is>
      </c>
    </row>
    <row r="61">
      <c r="A61" s="5" t="inlineStr">
        <is>
          <t>VT6</t>
        </is>
      </c>
      <c r="B61" s="5" t="inlineStr">
        <is>
          <t>cara pilote tierra - vano</t>
        </is>
      </c>
      <c r="C61" s="21" t="n">
        <v>3.25</v>
      </c>
      <c r="D61" s="5" t="inlineStr">
        <is>
          <t>top</t>
        </is>
      </c>
      <c r="E61" s="5" t="inlineStr">
        <is>
          <t>ELR17</t>
        </is>
      </c>
      <c r="F61" s="20" t="n">
        <v>-0.517</v>
      </c>
      <c r="G61" s="20" t="n">
        <v>344.48</v>
      </c>
      <c r="H61" s="7" t="n">
        <v>0.0015</v>
      </c>
      <c r="I61" s="22" t="n">
        <v>0.0248</v>
      </c>
      <c r="J61" s="22" t="n">
        <v>4.99</v>
      </c>
      <c r="K61" s="22" t="n">
        <v>4.99</v>
      </c>
      <c r="L61" s="22" t="n">
        <v>15.708</v>
      </c>
      <c r="M61" s="7" t="n">
        <v>0.318</v>
      </c>
      <c r="N61" s="5" t="inlineStr">
        <is>
          <t>sí</t>
        </is>
      </c>
    </row>
    <row r="62">
      <c r="A62" s="5" t="inlineStr">
        <is>
          <t>VT6</t>
        </is>
      </c>
      <c r="B62" s="5" t="inlineStr">
        <is>
          <t>cara pilote tierra - vuelo</t>
        </is>
      </c>
      <c r="C62" s="21" t="n">
        <v>3.65</v>
      </c>
      <c r="D62" s="5" t="inlineStr">
        <is>
          <t>bottom</t>
        </is>
      </c>
      <c r="E62" s="5" t="inlineStr">
        <is>
          <t>ELR20</t>
        </is>
      </c>
      <c r="F62" s="20" t="n">
        <v>5.15</v>
      </c>
      <c r="G62" s="20" t="n">
        <v>453.1</v>
      </c>
      <c r="H62" s="7" t="n">
        <v>0.0114</v>
      </c>
      <c r="I62" s="22" t="n">
        <v>0.247</v>
      </c>
      <c r="J62" s="22" t="n">
        <v>6.25</v>
      </c>
      <c r="K62" s="22" t="n">
        <v>6.25</v>
      </c>
      <c r="L62" s="22" t="n">
        <v>21.9911</v>
      </c>
      <c r="M62" s="7" t="n">
        <v>0.284</v>
      </c>
      <c r="N62" s="5" t="inlineStr">
        <is>
          <t>sí</t>
        </is>
      </c>
    </row>
    <row r="63">
      <c r="A63" s="5" t="inlineStr">
        <is>
          <t>VT6</t>
        </is>
      </c>
      <c r="B63" s="5" t="inlineStr">
        <is>
          <t>vano: máx. positivo</t>
        </is>
      </c>
      <c r="C63" s="21" t="n">
        <v>2.217</v>
      </c>
      <c r="D63" s="5" t="inlineStr">
        <is>
          <t>bottom</t>
        </is>
      </c>
      <c r="E63" s="5" t="inlineStr">
        <is>
          <t>ELR08</t>
        </is>
      </c>
      <c r="F63" s="20" t="n">
        <v>307.009</v>
      </c>
      <c r="G63" s="20" t="n">
        <v>453.1</v>
      </c>
      <c r="H63" s="7" t="n">
        <v>0.6776</v>
      </c>
      <c r="I63" s="22" t="n">
        <v>15.6934</v>
      </c>
      <c r="J63" s="22" t="n">
        <v>6.25</v>
      </c>
      <c r="K63" s="22" t="n">
        <v>15.69</v>
      </c>
      <c r="L63" s="22" t="n">
        <v>21.9911</v>
      </c>
      <c r="M63" s="7" t="n">
        <v>0.714</v>
      </c>
      <c r="N63" s="5" t="inlineStr">
        <is>
          <t>sí</t>
        </is>
      </c>
    </row>
    <row r="64">
      <c r="A64" s="5" t="inlineStr">
        <is>
          <t>VT6</t>
        </is>
      </c>
      <c r="B64" s="5" t="inlineStr">
        <is>
          <t>eje pilote mar (info, nudo rígido)</t>
        </is>
      </c>
      <c r="C64" s="21" t="n">
        <v>0</v>
      </c>
      <c r="D64" s="5" t="inlineStr">
        <is>
          <t>top</t>
        </is>
      </c>
      <c r="E64" s="5" t="inlineStr">
        <is>
          <t>ELR08</t>
        </is>
      </c>
      <c r="F64" s="20" t="n">
        <v>-353.294</v>
      </c>
      <c r="G64" s="20" t="n">
        <v>344.48</v>
      </c>
      <c r="H64" s="23" t="n">
        <v>1.0256</v>
      </c>
      <c r="I64" s="22" t="n">
        <v>17.7108</v>
      </c>
      <c r="J64" s="22" t="n">
        <v>4.99</v>
      </c>
      <c r="K64" s="22" t="n">
        <v>17.71</v>
      </c>
      <c r="L64" s="22" t="n">
        <v>15.708</v>
      </c>
      <c r="M64" s="23" t="n">
        <v>1.128</v>
      </c>
      <c r="N64" s="5" t="inlineStr">
        <is>
          <t>info</t>
        </is>
      </c>
    </row>
    <row r="65">
      <c r="A65" s="5" t="inlineStr">
        <is>
          <t>VT6</t>
        </is>
      </c>
      <c r="B65" s="5" t="inlineStr">
        <is>
          <t>eje pilote tierra (info, nudo rígido)</t>
        </is>
      </c>
      <c r="C65" s="21" t="n">
        <v>3.45</v>
      </c>
      <c r="D65" s="5" t="inlineStr">
        <is>
          <t>bottom</t>
        </is>
      </c>
      <c r="E65" s="5" t="inlineStr">
        <is>
          <t>ELR05</t>
        </is>
      </c>
      <c r="F65" s="20" t="n">
        <v>256.06</v>
      </c>
      <c r="G65" s="20" t="n">
        <v>453.1</v>
      </c>
      <c r="H65" s="23" t="n">
        <v>0.5651</v>
      </c>
      <c r="I65" s="22" t="n">
        <v>12.9373</v>
      </c>
      <c r="J65" s="22" t="n">
        <v>6.25</v>
      </c>
      <c r="K65" s="22" t="n">
        <v>12.94</v>
      </c>
      <c r="L65" s="22" t="n">
        <v>21.9911</v>
      </c>
      <c r="M65" s="23" t="n">
        <v>0.588</v>
      </c>
      <c r="N65" s="5" t="inlineStr">
        <is>
          <t>info</t>
        </is>
      </c>
    </row>
    <row r="66">
      <c r="A66" s="5" t="inlineStr">
        <is>
          <t>VT6</t>
        </is>
      </c>
      <c r="B66" s="5" t="inlineStr">
        <is>
          <t>eje pilote tierra (info, nudo rígido)</t>
        </is>
      </c>
      <c r="C66" s="21" t="n">
        <v>3.45</v>
      </c>
      <c r="D66" s="5" t="inlineStr">
        <is>
          <t>top</t>
        </is>
      </c>
      <c r="E66" s="5" t="inlineStr">
        <is>
          <t>ELR20</t>
        </is>
      </c>
      <c r="F66" s="20" t="n">
        <v>-67.29900000000001</v>
      </c>
      <c r="G66" s="20" t="n">
        <v>344.48</v>
      </c>
      <c r="H66" s="23" t="n">
        <v>0.1954</v>
      </c>
      <c r="I66" s="22" t="n">
        <v>3.2511</v>
      </c>
      <c r="J66" s="22" t="n">
        <v>4.99</v>
      </c>
      <c r="K66" s="22" t="n">
        <v>3.25</v>
      </c>
      <c r="L66" s="22" t="n">
        <v>15.708</v>
      </c>
      <c r="M66" s="23" t="n">
        <v>0.207</v>
      </c>
      <c r="N66" s="5" t="inlineStr">
        <is>
          <t>info</t>
        </is>
      </c>
    </row>
    <row r="67">
      <c r="A67" s="5" t="inlineStr">
        <is>
          <t>VT7</t>
        </is>
      </c>
      <c r="B67" s="5" t="inlineStr">
        <is>
          <t>cara pilote mar - voladizo</t>
        </is>
      </c>
      <c r="C67" s="21" t="n">
        <v>-0.2</v>
      </c>
      <c r="D67" s="5" t="inlineStr">
        <is>
          <t>bottom</t>
        </is>
      </c>
      <c r="E67" s="5" t="inlineStr">
        <is>
          <t>ELR17</t>
        </is>
      </c>
      <c r="F67" s="20" t="n">
        <v>12.377</v>
      </c>
      <c r="G67" s="20" t="n">
        <v>429.257</v>
      </c>
      <c r="H67" s="7" t="n">
        <v>0.0288</v>
      </c>
      <c r="I67" s="22" t="n">
        <v>0.5939</v>
      </c>
      <c r="J67" s="22" t="n">
        <v>8.07</v>
      </c>
      <c r="K67" s="22" t="n">
        <v>8.07</v>
      </c>
      <c r="L67" s="22" t="n">
        <v>18.8496</v>
      </c>
      <c r="M67" s="7" t="n">
        <v>0.428</v>
      </c>
      <c r="N67" s="5" t="inlineStr">
        <is>
          <t>sí</t>
        </is>
      </c>
    </row>
    <row r="68">
      <c r="A68" s="5" t="inlineStr">
        <is>
          <t>VT7</t>
        </is>
      </c>
      <c r="B68" s="5" t="inlineStr">
        <is>
          <t>cara pilote mar - voladizo</t>
        </is>
      </c>
      <c r="C68" s="21" t="n">
        <v>-0.2</v>
      </c>
      <c r="D68" s="5" t="inlineStr">
        <is>
          <t>top</t>
        </is>
      </c>
      <c r="E68" s="5" t="inlineStr">
        <is>
          <t>ELR08</t>
        </is>
      </c>
      <c r="F68" s="20" t="n">
        <v>-58.624</v>
      </c>
      <c r="G68" s="20" t="n">
        <v>362.568</v>
      </c>
      <c r="H68" s="7" t="n">
        <v>0.1617</v>
      </c>
      <c r="I68" s="22" t="n">
        <v>2.8258</v>
      </c>
      <c r="J68" s="22" t="n">
        <v>7.42</v>
      </c>
      <c r="K68" s="22" t="n">
        <v>7.42</v>
      </c>
      <c r="L68" s="22" t="n">
        <v>15.708</v>
      </c>
      <c r="M68" s="7" t="n">
        <v>0.472</v>
      </c>
      <c r="N68" s="5" t="inlineStr">
        <is>
          <t>sí</t>
        </is>
      </c>
    </row>
    <row r="69">
      <c r="A69" s="5" t="inlineStr">
        <is>
          <t>VT7</t>
        </is>
      </c>
      <c r="B69" s="5" t="inlineStr">
        <is>
          <t>cara pilote mar - vano</t>
        </is>
      </c>
      <c r="C69" s="21" t="n">
        <v>0.2</v>
      </c>
      <c r="D69" s="5" t="inlineStr">
        <is>
          <t>bottom</t>
        </is>
      </c>
      <c r="E69" s="5" t="inlineStr">
        <is>
          <t>ELR17</t>
        </is>
      </c>
      <c r="F69" s="20" t="n">
        <v>23.448</v>
      </c>
      <c r="G69" s="20" t="n">
        <v>429.257</v>
      </c>
      <c r="H69" s="7" t="n">
        <v>0.0546</v>
      </c>
      <c r="I69" s="22" t="n">
        <v>1.1267</v>
      </c>
      <c r="J69" s="22" t="n">
        <v>8.07</v>
      </c>
      <c r="K69" s="22" t="n">
        <v>8.07</v>
      </c>
      <c r="L69" s="22" t="n">
        <v>18.8496</v>
      </c>
      <c r="M69" s="7" t="n">
        <v>0.428</v>
      </c>
      <c r="N69" s="5" t="inlineStr">
        <is>
          <t>sí</t>
        </is>
      </c>
    </row>
    <row r="70">
      <c r="A70" s="5" t="inlineStr">
        <is>
          <t>VT7</t>
        </is>
      </c>
      <c r="B70" s="5" t="inlineStr">
        <is>
          <t>cara pilote mar - vano</t>
        </is>
      </c>
      <c r="C70" s="21" t="n">
        <v>0.2</v>
      </c>
      <c r="D70" s="5" t="inlineStr">
        <is>
          <t>top</t>
        </is>
      </c>
      <c r="E70" s="5" t="inlineStr">
        <is>
          <t>ELR08</t>
        </is>
      </c>
      <c r="F70" s="20" t="n">
        <v>-289.416</v>
      </c>
      <c r="G70" s="20" t="n">
        <v>362.568</v>
      </c>
      <c r="H70" s="7" t="n">
        <v>0.7982</v>
      </c>
      <c r="I70" s="22" t="n">
        <v>14.2971</v>
      </c>
      <c r="J70" s="22" t="n">
        <v>7.42</v>
      </c>
      <c r="K70" s="22" t="n">
        <v>14.3</v>
      </c>
      <c r="L70" s="22" t="n">
        <v>15.708</v>
      </c>
      <c r="M70" s="7" t="n">
        <v>0.91</v>
      </c>
      <c r="N70" s="5" t="inlineStr">
        <is>
          <t>sí</t>
        </is>
      </c>
    </row>
    <row r="71">
      <c r="A71" s="5" t="inlineStr">
        <is>
          <t>VT7</t>
        </is>
      </c>
      <c r="B71" s="5" t="inlineStr">
        <is>
          <t>cara pilote tierra - vano</t>
        </is>
      </c>
      <c r="C71" s="21" t="n">
        <v>3.25</v>
      </c>
      <c r="D71" s="5" t="inlineStr">
        <is>
          <t>bottom</t>
        </is>
      </c>
      <c r="E71" s="5" t="inlineStr">
        <is>
          <t>ELR08</t>
        </is>
      </c>
      <c r="F71" s="20" t="n">
        <v>248.843</v>
      </c>
      <c r="G71" s="20" t="n">
        <v>429.257</v>
      </c>
      <c r="H71" s="7" t="n">
        <v>0.5797</v>
      </c>
      <c r="I71" s="22" t="n">
        <v>12.301</v>
      </c>
      <c r="J71" s="22" t="n">
        <v>8.07</v>
      </c>
      <c r="K71" s="22" t="n">
        <v>12.3</v>
      </c>
      <c r="L71" s="22" t="n">
        <v>18.8496</v>
      </c>
      <c r="M71" s="7" t="n">
        <v>0.653</v>
      </c>
      <c r="N71" s="5" t="inlineStr">
        <is>
          <t>sí</t>
        </is>
      </c>
    </row>
    <row r="72">
      <c r="A72" s="5" t="inlineStr">
        <is>
          <t>VT7</t>
        </is>
      </c>
      <c r="B72" s="5" t="inlineStr">
        <is>
          <t>cara pilote tierra - vuelo</t>
        </is>
      </c>
      <c r="C72" s="21" t="n">
        <v>3.65</v>
      </c>
      <c r="D72" s="5" t="inlineStr">
        <is>
          <t>bottom</t>
        </is>
      </c>
      <c r="E72" s="5" t="inlineStr">
        <is>
          <t>ELR14</t>
        </is>
      </c>
      <c r="F72" s="20" t="n">
        <v>6.906</v>
      </c>
      <c r="G72" s="20" t="n">
        <v>429.257</v>
      </c>
      <c r="H72" s="7" t="n">
        <v>0.0161</v>
      </c>
      <c r="I72" s="22" t="n">
        <v>0.3312</v>
      </c>
      <c r="J72" s="22" t="n">
        <v>8.07</v>
      </c>
      <c r="K72" s="22" t="n">
        <v>8.07</v>
      </c>
      <c r="L72" s="22" t="n">
        <v>18.8496</v>
      </c>
      <c r="M72" s="7" t="n">
        <v>0.428</v>
      </c>
      <c r="N72" s="5" t="inlineStr">
        <is>
          <t>sí</t>
        </is>
      </c>
    </row>
    <row r="73">
      <c r="A73" s="5" t="inlineStr">
        <is>
          <t>VT7</t>
        </is>
      </c>
      <c r="B73" s="5" t="inlineStr">
        <is>
          <t>vano: máx. positivo</t>
        </is>
      </c>
      <c r="C73" s="21" t="n">
        <v>3.25</v>
      </c>
      <c r="D73" s="5" t="inlineStr">
        <is>
          <t>bottom</t>
        </is>
      </c>
      <c r="E73" s="5" t="inlineStr">
        <is>
          <t>ELR08</t>
        </is>
      </c>
      <c r="F73" s="20" t="n">
        <v>248.718</v>
      </c>
      <c r="G73" s="20" t="n">
        <v>429.257</v>
      </c>
      <c r="H73" s="7" t="n">
        <v>0.5794</v>
      </c>
      <c r="I73" s="22" t="n">
        <v>12.2946</v>
      </c>
      <c r="J73" s="22" t="n">
        <v>8.07</v>
      </c>
      <c r="K73" s="22" t="n">
        <v>12.29</v>
      </c>
      <c r="L73" s="22" t="n">
        <v>18.8496</v>
      </c>
      <c r="M73" s="7" t="n">
        <v>0.652</v>
      </c>
      <c r="N73" s="5" t="inlineStr">
        <is>
          <t>sí</t>
        </is>
      </c>
    </row>
    <row r="74">
      <c r="A74" s="5" t="inlineStr">
        <is>
          <t>VT7</t>
        </is>
      </c>
      <c r="B74" s="5" t="inlineStr">
        <is>
          <t>eje pilote mar (info, nudo rígido)</t>
        </is>
      </c>
      <c r="C74" s="21" t="n">
        <v>0</v>
      </c>
      <c r="D74" s="5" t="inlineStr">
        <is>
          <t>bottom</t>
        </is>
      </c>
      <c r="E74" s="5" t="inlineStr">
        <is>
          <t>ELR17</t>
        </is>
      </c>
      <c r="F74" s="20" t="n">
        <v>24.622</v>
      </c>
      <c r="G74" s="20" t="n">
        <v>429.257</v>
      </c>
      <c r="H74" s="23" t="n">
        <v>0.0574</v>
      </c>
      <c r="I74" s="22" t="n">
        <v>1.1833</v>
      </c>
      <c r="J74" s="22" t="n">
        <v>8.07</v>
      </c>
      <c r="K74" s="22" t="n">
        <v>1.18</v>
      </c>
      <c r="L74" s="22" t="n">
        <v>18.8496</v>
      </c>
      <c r="M74" s="23" t="n">
        <v>0.063</v>
      </c>
      <c r="N74" s="5" t="inlineStr">
        <is>
          <t>info</t>
        </is>
      </c>
    </row>
    <row r="75">
      <c r="A75" s="5" t="inlineStr">
        <is>
          <t>VT7</t>
        </is>
      </c>
      <c r="B75" s="5" t="inlineStr">
        <is>
          <t>eje pilote mar (info, nudo rígido)</t>
        </is>
      </c>
      <c r="C75" s="21" t="n">
        <v>0</v>
      </c>
      <c r="D75" s="5" t="inlineStr">
        <is>
          <t>top</t>
        </is>
      </c>
      <c r="E75" s="5" t="inlineStr">
        <is>
          <t>ELR08</t>
        </is>
      </c>
      <c r="F75" s="20" t="n">
        <v>-358.093</v>
      </c>
      <c r="G75" s="20" t="n">
        <v>362.568</v>
      </c>
      <c r="H75" s="23" t="n">
        <v>0.9877</v>
      </c>
      <c r="I75" s="22" t="n">
        <v>17.8258</v>
      </c>
      <c r="J75" s="22" t="n">
        <v>7.42</v>
      </c>
      <c r="K75" s="22" t="n">
        <v>17.83</v>
      </c>
      <c r="L75" s="22" t="n">
        <v>15.708</v>
      </c>
      <c r="M75" s="23" t="n">
        <v>1.135</v>
      </c>
      <c r="N75" s="5" t="inlineStr">
        <is>
          <t>info</t>
        </is>
      </c>
    </row>
    <row r="76">
      <c r="A76" s="5" t="inlineStr">
        <is>
          <t>VT7</t>
        </is>
      </c>
      <c r="B76" s="5" t="inlineStr">
        <is>
          <t>eje pilote tierra (info, nudo rígido)</t>
        </is>
      </c>
      <c r="C76" s="21" t="n">
        <v>3.45</v>
      </c>
      <c r="D76" s="5" t="inlineStr">
        <is>
          <t>bottom</t>
        </is>
      </c>
      <c r="E76" s="5" t="inlineStr">
        <is>
          <t>ELR05</t>
        </is>
      </c>
      <c r="F76" s="20" t="n">
        <v>270.147</v>
      </c>
      <c r="G76" s="20" t="n">
        <v>429.257</v>
      </c>
      <c r="H76" s="23" t="n">
        <v>0.6293</v>
      </c>
      <c r="I76" s="22" t="n">
        <v>13.3917</v>
      </c>
      <c r="J76" s="22" t="n">
        <v>8.07</v>
      </c>
      <c r="K76" s="22" t="n">
        <v>13.39</v>
      </c>
      <c r="L76" s="22" t="n">
        <v>18.8496</v>
      </c>
      <c r="M76" s="23" t="n">
        <v>0.71</v>
      </c>
      <c r="N76" s="5" t="inlineStr">
        <is>
          <t>info</t>
        </is>
      </c>
    </row>
    <row r="77">
      <c r="A77" s="5" t="inlineStr">
        <is>
          <t>VT7</t>
        </is>
      </c>
      <c r="B77" s="5" t="inlineStr">
        <is>
          <t>eje pilote tierra (info, nudo rígido)</t>
        </is>
      </c>
      <c r="C77" s="21" t="n">
        <v>3.45</v>
      </c>
      <c r="D77" s="5" t="inlineStr">
        <is>
          <t>top</t>
        </is>
      </c>
      <c r="E77" s="5" t="inlineStr">
        <is>
          <t>ELR20</t>
        </is>
      </c>
      <c r="F77" s="20" t="n">
        <v>-26.24</v>
      </c>
      <c r="G77" s="20" t="n">
        <v>362.568</v>
      </c>
      <c r="H77" s="23" t="n">
        <v>0.07240000000000001</v>
      </c>
      <c r="I77" s="22" t="n">
        <v>1.2607</v>
      </c>
      <c r="J77" s="22" t="n">
        <v>7.42</v>
      </c>
      <c r="K77" s="22" t="n">
        <v>1.26</v>
      </c>
      <c r="L77" s="22" t="n">
        <v>15.708</v>
      </c>
      <c r="M77" s="23" t="n">
        <v>0.08</v>
      </c>
      <c r="N77" s="5" t="inlineStr">
        <is>
          <t>info</t>
        </is>
      </c>
    </row>
    <row r="78">
      <c r="A78" s="5" t="inlineStr">
        <is>
          <t>VBM</t>
        </is>
      </c>
      <c r="B78" s="5" t="inlineStr">
        <is>
          <t>tramo 1 cara izq. (X=0.40)</t>
        </is>
      </c>
      <c r="C78" s="21" t="n">
        <v>0.4</v>
      </c>
      <c r="D78" s="5" t="inlineStr">
        <is>
          <t>top</t>
        </is>
      </c>
      <c r="E78" s="5" t="inlineStr">
        <is>
          <t>ELR20</t>
        </is>
      </c>
      <c r="F78" s="20" t="n">
        <v>-20.984</v>
      </c>
      <c r="G78" s="20" t="n">
        <v>40.314</v>
      </c>
      <c r="H78" s="7" t="n">
        <v>0.5205</v>
      </c>
      <c r="I78" s="22" t="n">
        <v>2.1373</v>
      </c>
      <c r="J78" s="22" t="n">
        <v>1.5</v>
      </c>
      <c r="K78" s="22" t="n">
        <v>2.14</v>
      </c>
      <c r="L78" s="22" t="n">
        <v>4.0212</v>
      </c>
      <c r="M78" s="7" t="n">
        <v>0.532</v>
      </c>
      <c r="N78" s="5" t="inlineStr">
        <is>
          <t>sí</t>
        </is>
      </c>
    </row>
    <row r="79">
      <c r="A79" s="5" t="inlineStr">
        <is>
          <t>VBM</t>
        </is>
      </c>
      <c r="B79" s="5" t="inlineStr">
        <is>
          <t>tramo 1 cara der. (X=6.25)</t>
        </is>
      </c>
      <c r="C79" s="21" t="n">
        <v>6.25</v>
      </c>
      <c r="D79" s="5" t="inlineStr">
        <is>
          <t>top</t>
        </is>
      </c>
      <c r="E79" s="5" t="inlineStr">
        <is>
          <t>ELR14</t>
        </is>
      </c>
      <c r="F79" s="20" t="n">
        <v>-37.525</v>
      </c>
      <c r="G79" s="20" t="n">
        <v>40.314</v>
      </c>
      <c r="H79" s="7" t="n">
        <v>0.9308</v>
      </c>
      <c r="I79" s="22" t="n">
        <v>3.9428</v>
      </c>
      <c r="J79" s="22" t="n">
        <v>1.5</v>
      </c>
      <c r="K79" s="22" t="n">
        <v>3.94</v>
      </c>
      <c r="L79" s="22" t="n">
        <v>4.0212</v>
      </c>
      <c r="M79" s="11" t="n">
        <v>0.981</v>
      </c>
      <c r="N79" s="5" t="inlineStr">
        <is>
          <t>sí</t>
        </is>
      </c>
    </row>
    <row r="80">
      <c r="A80" s="5" t="inlineStr">
        <is>
          <t>VBM</t>
        </is>
      </c>
      <c r="B80" s="5" t="inlineStr">
        <is>
          <t>tramo 2 cara izq. (X=6.75)</t>
        </is>
      </c>
      <c r="C80" s="21" t="n">
        <v>6.75</v>
      </c>
      <c r="D80" s="5" t="inlineStr">
        <is>
          <t>top</t>
        </is>
      </c>
      <c r="E80" s="5" t="inlineStr">
        <is>
          <t>ELR14</t>
        </is>
      </c>
      <c r="F80" s="20" t="n">
        <v>-36.537</v>
      </c>
      <c r="G80" s="20" t="n">
        <v>40.314</v>
      </c>
      <c r="H80" s="7" t="n">
        <v>0.9063</v>
      </c>
      <c r="I80" s="22" t="n">
        <v>3.8315</v>
      </c>
      <c r="J80" s="22" t="n">
        <v>1.5</v>
      </c>
      <c r="K80" s="22" t="n">
        <v>3.83</v>
      </c>
      <c r="L80" s="22" t="n">
        <v>4.0212</v>
      </c>
      <c r="M80" s="11" t="n">
        <v>0.953</v>
      </c>
      <c r="N80" s="5" t="inlineStr">
        <is>
          <t>sí</t>
        </is>
      </c>
    </row>
    <row r="81">
      <c r="A81" s="5" t="inlineStr">
        <is>
          <t>VBM</t>
        </is>
      </c>
      <c r="B81" s="5" t="inlineStr">
        <is>
          <t>tramo 2 cara der. (X=12.75)</t>
        </is>
      </c>
      <c r="C81" s="21" t="n">
        <v>12.75</v>
      </c>
      <c r="D81" s="5" t="inlineStr">
        <is>
          <t>top</t>
        </is>
      </c>
      <c r="E81" s="5" t="inlineStr">
        <is>
          <t>ELR20</t>
        </is>
      </c>
      <c r="F81" s="20" t="n">
        <v>-29.058</v>
      </c>
      <c r="G81" s="20" t="n">
        <v>40.314</v>
      </c>
      <c r="H81" s="7" t="n">
        <v>0.7208</v>
      </c>
      <c r="I81" s="22" t="n">
        <v>3.0038</v>
      </c>
      <c r="J81" s="22" t="n">
        <v>1.5</v>
      </c>
      <c r="K81" s="22" t="n">
        <v>3</v>
      </c>
      <c r="L81" s="22" t="n">
        <v>4.0212</v>
      </c>
      <c r="M81" s="7" t="n">
        <v>0.747</v>
      </c>
      <c r="N81" s="5" t="inlineStr">
        <is>
          <t>sí</t>
        </is>
      </c>
    </row>
    <row r="82">
      <c r="A82" s="5" t="inlineStr">
        <is>
          <t>VBM</t>
        </is>
      </c>
      <c r="B82" s="5" t="inlineStr">
        <is>
          <t>tramo 3 cara izq. (X=13.25)</t>
        </is>
      </c>
      <c r="C82" s="21" t="n">
        <v>13.25</v>
      </c>
      <c r="D82" s="5" t="inlineStr">
        <is>
          <t>top</t>
        </is>
      </c>
      <c r="E82" s="5" t="inlineStr">
        <is>
          <t>ELR20</t>
        </is>
      </c>
      <c r="F82" s="20" t="n">
        <v>-29.887</v>
      </c>
      <c r="G82" s="20" t="n">
        <v>40.314</v>
      </c>
      <c r="H82" s="7" t="n">
        <v>0.7413</v>
      </c>
      <c r="I82" s="22" t="n">
        <v>3.0943</v>
      </c>
      <c r="J82" s="22" t="n">
        <v>1.5</v>
      </c>
      <c r="K82" s="22" t="n">
        <v>3.09</v>
      </c>
      <c r="L82" s="22" t="n">
        <v>4.0212</v>
      </c>
      <c r="M82" s="7" t="n">
        <v>0.769</v>
      </c>
      <c r="N82" s="5" t="inlineStr">
        <is>
          <t>sí</t>
        </is>
      </c>
    </row>
    <row r="83">
      <c r="A83" s="5" t="inlineStr">
        <is>
          <t>VBM</t>
        </is>
      </c>
      <c r="B83" s="5" t="inlineStr">
        <is>
          <t>tramo 3 cara der. (X=19.25)</t>
        </is>
      </c>
      <c r="C83" s="21" t="n">
        <v>19.25</v>
      </c>
      <c r="D83" s="5" t="inlineStr">
        <is>
          <t>top</t>
        </is>
      </c>
      <c r="E83" s="5" t="inlineStr">
        <is>
          <t>ELR14</t>
        </is>
      </c>
      <c r="F83" s="20" t="n">
        <v>-31.547</v>
      </c>
      <c r="G83" s="20" t="n">
        <v>40.314</v>
      </c>
      <c r="H83" s="7" t="n">
        <v>0.7825</v>
      </c>
      <c r="I83" s="22" t="n">
        <v>3.2765</v>
      </c>
      <c r="J83" s="22" t="n">
        <v>1.5</v>
      </c>
      <c r="K83" s="22" t="n">
        <v>3.28</v>
      </c>
      <c r="L83" s="22" t="n">
        <v>4.0212</v>
      </c>
      <c r="M83" s="7" t="n">
        <v>0.8149999999999999</v>
      </c>
      <c r="N83" s="5" t="inlineStr">
        <is>
          <t>sí</t>
        </is>
      </c>
    </row>
    <row r="84">
      <c r="A84" s="5" t="inlineStr">
        <is>
          <t>VBM</t>
        </is>
      </c>
      <c r="B84" s="5" t="inlineStr">
        <is>
          <t>tramo 4 cara izq. (X=19.75)</t>
        </is>
      </c>
      <c r="C84" s="21" t="n">
        <v>19.75</v>
      </c>
      <c r="D84" s="5" t="inlineStr">
        <is>
          <t>top</t>
        </is>
      </c>
      <c r="E84" s="5" t="inlineStr">
        <is>
          <t>ELR14</t>
        </is>
      </c>
      <c r="F84" s="20" t="n">
        <v>-31.547</v>
      </c>
      <c r="G84" s="20" t="n">
        <v>40.314</v>
      </c>
      <c r="H84" s="7" t="n">
        <v>0.7825</v>
      </c>
      <c r="I84" s="22" t="n">
        <v>3.2765</v>
      </c>
      <c r="J84" s="22" t="n">
        <v>1.5</v>
      </c>
      <c r="K84" s="22" t="n">
        <v>3.28</v>
      </c>
      <c r="L84" s="22" t="n">
        <v>4.0212</v>
      </c>
      <c r="M84" s="7" t="n">
        <v>0.8149999999999999</v>
      </c>
      <c r="N84" s="5" t="inlineStr">
        <is>
          <t>sí</t>
        </is>
      </c>
    </row>
    <row r="85">
      <c r="A85" s="5" t="inlineStr">
        <is>
          <t>VBM</t>
        </is>
      </c>
      <c r="B85" s="5" t="inlineStr">
        <is>
          <t>tramo 4 cara der. (X=25.75)</t>
        </is>
      </c>
      <c r="C85" s="21" t="n">
        <v>25.75</v>
      </c>
      <c r="D85" s="5" t="inlineStr">
        <is>
          <t>top</t>
        </is>
      </c>
      <c r="E85" s="5" t="inlineStr">
        <is>
          <t>ELR20</t>
        </is>
      </c>
      <c r="F85" s="20" t="n">
        <v>-29.887</v>
      </c>
      <c r="G85" s="20" t="n">
        <v>40.314</v>
      </c>
      <c r="H85" s="7" t="n">
        <v>0.7413</v>
      </c>
      <c r="I85" s="22" t="n">
        <v>3.0943</v>
      </c>
      <c r="J85" s="22" t="n">
        <v>1.5</v>
      </c>
      <c r="K85" s="22" t="n">
        <v>3.09</v>
      </c>
      <c r="L85" s="22" t="n">
        <v>4.0212</v>
      </c>
      <c r="M85" s="7" t="n">
        <v>0.769</v>
      </c>
      <c r="N85" s="5" t="inlineStr">
        <is>
          <t>sí</t>
        </is>
      </c>
    </row>
    <row r="86">
      <c r="A86" s="5" t="inlineStr">
        <is>
          <t>VBM</t>
        </is>
      </c>
      <c r="B86" s="5" t="inlineStr">
        <is>
          <t>tramo 5 cara izq. (X=26.25)</t>
        </is>
      </c>
      <c r="C86" s="21" t="n">
        <v>26.25</v>
      </c>
      <c r="D86" s="5" t="inlineStr">
        <is>
          <t>top</t>
        </is>
      </c>
      <c r="E86" s="5" t="inlineStr">
        <is>
          <t>ELR20</t>
        </is>
      </c>
      <c r="F86" s="20" t="n">
        <v>-29.058</v>
      </c>
      <c r="G86" s="20" t="n">
        <v>40.314</v>
      </c>
      <c r="H86" s="7" t="n">
        <v>0.7208</v>
      </c>
      <c r="I86" s="22" t="n">
        <v>3.0038</v>
      </c>
      <c r="J86" s="22" t="n">
        <v>1.5</v>
      </c>
      <c r="K86" s="22" t="n">
        <v>3</v>
      </c>
      <c r="L86" s="22" t="n">
        <v>4.0212</v>
      </c>
      <c r="M86" s="7" t="n">
        <v>0.747</v>
      </c>
      <c r="N86" s="5" t="inlineStr">
        <is>
          <t>sí</t>
        </is>
      </c>
    </row>
    <row r="87">
      <c r="A87" s="5" t="inlineStr">
        <is>
          <t>VBM</t>
        </is>
      </c>
      <c r="B87" s="5" t="inlineStr">
        <is>
          <t>tramo 5 cara der. (X=32.25)</t>
        </is>
      </c>
      <c r="C87" s="21" t="n">
        <v>32.25</v>
      </c>
      <c r="D87" s="5" t="inlineStr">
        <is>
          <t>top</t>
        </is>
      </c>
      <c r="E87" s="5" t="inlineStr">
        <is>
          <t>ELR14</t>
        </is>
      </c>
      <c r="F87" s="20" t="n">
        <v>-36.537</v>
      </c>
      <c r="G87" s="20" t="n">
        <v>40.314</v>
      </c>
      <c r="H87" s="7" t="n">
        <v>0.9063</v>
      </c>
      <c r="I87" s="22" t="n">
        <v>3.8315</v>
      </c>
      <c r="J87" s="22" t="n">
        <v>1.5</v>
      </c>
      <c r="K87" s="22" t="n">
        <v>3.83</v>
      </c>
      <c r="L87" s="22" t="n">
        <v>4.0212</v>
      </c>
      <c r="M87" s="11" t="n">
        <v>0.953</v>
      </c>
      <c r="N87" s="5" t="inlineStr">
        <is>
          <t>sí</t>
        </is>
      </c>
    </row>
    <row r="88">
      <c r="A88" s="5" t="inlineStr">
        <is>
          <t>VBM</t>
        </is>
      </c>
      <c r="B88" s="5" t="inlineStr">
        <is>
          <t>tramo 6 cara izq. (X=32.75)</t>
        </is>
      </c>
      <c r="C88" s="21" t="n">
        <v>32.75</v>
      </c>
      <c r="D88" s="5" t="inlineStr">
        <is>
          <t>top</t>
        </is>
      </c>
      <c r="E88" s="5" t="inlineStr">
        <is>
          <t>ELR14</t>
        </is>
      </c>
      <c r="F88" s="20" t="n">
        <v>-37.525</v>
      </c>
      <c r="G88" s="20" t="n">
        <v>40.314</v>
      </c>
      <c r="H88" s="7" t="n">
        <v>0.9308</v>
      </c>
      <c r="I88" s="22" t="n">
        <v>3.9428</v>
      </c>
      <c r="J88" s="22" t="n">
        <v>1.5</v>
      </c>
      <c r="K88" s="22" t="n">
        <v>3.94</v>
      </c>
      <c r="L88" s="22" t="n">
        <v>4.0212</v>
      </c>
      <c r="M88" s="11" t="n">
        <v>0.981</v>
      </c>
      <c r="N88" s="5" t="inlineStr">
        <is>
          <t>sí</t>
        </is>
      </c>
    </row>
    <row r="89">
      <c r="A89" s="5" t="inlineStr">
        <is>
          <t>VBM</t>
        </is>
      </c>
      <c r="B89" s="5" t="inlineStr">
        <is>
          <t>tramo 6 cara der. (X=38.60)</t>
        </is>
      </c>
      <c r="C89" s="21" t="n">
        <v>38.6</v>
      </c>
      <c r="D89" s="5" t="inlineStr">
        <is>
          <t>top</t>
        </is>
      </c>
      <c r="E89" s="5" t="inlineStr">
        <is>
          <t>ELR20</t>
        </is>
      </c>
      <c r="F89" s="20" t="n">
        <v>-20.984</v>
      </c>
      <c r="G89" s="20" t="n">
        <v>40.314</v>
      </c>
      <c r="H89" s="7" t="n">
        <v>0.5205</v>
      </c>
      <c r="I89" s="22" t="n">
        <v>2.1373</v>
      </c>
      <c r="J89" s="22" t="n">
        <v>1.5</v>
      </c>
      <c r="K89" s="22" t="n">
        <v>2.14</v>
      </c>
      <c r="L89" s="22" t="n">
        <v>4.0212</v>
      </c>
      <c r="M89" s="7" t="n">
        <v>0.532</v>
      </c>
      <c r="N89" s="5" t="inlineStr">
        <is>
          <t>sí</t>
        </is>
      </c>
    </row>
    <row r="90">
      <c r="A90" s="5" t="inlineStr">
        <is>
          <t>VBM</t>
        </is>
      </c>
      <c r="B90" s="5" t="inlineStr">
        <is>
          <t>tramo 1: máx. positivo</t>
        </is>
      </c>
      <c r="C90" s="21" t="n">
        <v>3</v>
      </c>
      <c r="D90" s="5" t="inlineStr">
        <is>
          <t>bottom</t>
        </is>
      </c>
      <c r="E90" s="5" t="inlineStr">
        <is>
          <t>ELR20</t>
        </is>
      </c>
      <c r="F90" s="20" t="n">
        <v>18.544</v>
      </c>
      <c r="G90" s="20" t="n">
        <v>40.314</v>
      </c>
      <c r="H90" s="7" t="n">
        <v>0.46</v>
      </c>
      <c r="I90" s="22" t="n">
        <v>1.8806</v>
      </c>
      <c r="J90" s="22" t="n">
        <v>1.5</v>
      </c>
      <c r="K90" s="22" t="n">
        <v>1.88</v>
      </c>
      <c r="L90" s="22" t="n">
        <v>4.0212</v>
      </c>
      <c r="M90" s="7" t="n">
        <v>0.468</v>
      </c>
      <c r="N90" s="5" t="inlineStr">
        <is>
          <t>sí</t>
        </is>
      </c>
    </row>
    <row r="91">
      <c r="A91" s="5" t="inlineStr">
        <is>
          <t>VBM</t>
        </is>
      </c>
      <c r="B91" s="5" t="inlineStr">
        <is>
          <t>tramo 2: máx. positivo</t>
        </is>
      </c>
      <c r="C91" s="21" t="n">
        <v>10</v>
      </c>
      <c r="D91" s="5" t="inlineStr">
        <is>
          <t>bottom</t>
        </is>
      </c>
      <c r="E91" s="5" t="inlineStr">
        <is>
          <t>ELR14</t>
        </is>
      </c>
      <c r="F91" s="20" t="n">
        <v>10.774</v>
      </c>
      <c r="G91" s="20" t="n">
        <v>40.314</v>
      </c>
      <c r="H91" s="7" t="n">
        <v>0.2672</v>
      </c>
      <c r="I91" s="22" t="n">
        <v>1.078</v>
      </c>
      <c r="J91" s="22" t="n">
        <v>1.5</v>
      </c>
      <c r="K91" s="22" t="n">
        <v>1.5</v>
      </c>
      <c r="L91" s="22" t="n">
        <v>4.0212</v>
      </c>
      <c r="M91" s="7" t="n">
        <v>0.373</v>
      </c>
      <c r="N91" s="5" t="inlineStr">
        <is>
          <t>sí</t>
        </is>
      </c>
    </row>
    <row r="92">
      <c r="A92" s="5" t="inlineStr">
        <is>
          <t>VBM</t>
        </is>
      </c>
      <c r="B92" s="5" t="inlineStr">
        <is>
          <t>tramo 3: máx. positivo</t>
        </is>
      </c>
      <c r="C92" s="21" t="n">
        <v>16</v>
      </c>
      <c r="D92" s="5" t="inlineStr">
        <is>
          <t>bottom</t>
        </is>
      </c>
      <c r="E92" s="5" t="inlineStr">
        <is>
          <t>ELR14</t>
        </is>
      </c>
      <c r="F92" s="20" t="n">
        <v>12.145</v>
      </c>
      <c r="G92" s="20" t="n">
        <v>40.314</v>
      </c>
      <c r="H92" s="7" t="n">
        <v>0.3012</v>
      </c>
      <c r="I92" s="22" t="n">
        <v>1.218</v>
      </c>
      <c r="J92" s="22" t="n">
        <v>1.5</v>
      </c>
      <c r="K92" s="22" t="n">
        <v>1.5</v>
      </c>
      <c r="L92" s="22" t="n">
        <v>4.0212</v>
      </c>
      <c r="M92" s="7" t="n">
        <v>0.373</v>
      </c>
      <c r="N92" s="5" t="inlineStr">
        <is>
          <t>sí</t>
        </is>
      </c>
    </row>
    <row r="93">
      <c r="A93" s="5" t="inlineStr">
        <is>
          <t>VBM</t>
        </is>
      </c>
      <c r="B93" s="5" t="inlineStr">
        <is>
          <t>tramo 4: máx. positivo</t>
        </is>
      </c>
      <c r="C93" s="21" t="n">
        <v>23</v>
      </c>
      <c r="D93" s="5" t="inlineStr">
        <is>
          <t>bottom</t>
        </is>
      </c>
      <c r="E93" s="5" t="inlineStr">
        <is>
          <t>ELR14</t>
        </is>
      </c>
      <c r="F93" s="20" t="n">
        <v>12.145</v>
      </c>
      <c r="G93" s="20" t="n">
        <v>40.314</v>
      </c>
      <c r="H93" s="7" t="n">
        <v>0.3012</v>
      </c>
      <c r="I93" s="22" t="n">
        <v>1.218</v>
      </c>
      <c r="J93" s="22" t="n">
        <v>1.5</v>
      </c>
      <c r="K93" s="22" t="n">
        <v>1.5</v>
      </c>
      <c r="L93" s="22" t="n">
        <v>4.0212</v>
      </c>
      <c r="M93" s="7" t="n">
        <v>0.373</v>
      </c>
      <c r="N93" s="5" t="inlineStr">
        <is>
          <t>sí</t>
        </is>
      </c>
    </row>
    <row r="94">
      <c r="A94" s="5" t="inlineStr">
        <is>
          <t>VBM</t>
        </is>
      </c>
      <c r="B94" s="5" t="inlineStr">
        <is>
          <t>tramo 5: máx. positivo</t>
        </is>
      </c>
      <c r="C94" s="21" t="n">
        <v>29</v>
      </c>
      <c r="D94" s="5" t="inlineStr">
        <is>
          <t>bottom</t>
        </is>
      </c>
      <c r="E94" s="5" t="inlineStr">
        <is>
          <t>ELR14</t>
        </is>
      </c>
      <c r="F94" s="20" t="n">
        <v>10.774</v>
      </c>
      <c r="G94" s="20" t="n">
        <v>40.314</v>
      </c>
      <c r="H94" s="7" t="n">
        <v>0.2672</v>
      </c>
      <c r="I94" s="22" t="n">
        <v>1.078</v>
      </c>
      <c r="J94" s="22" t="n">
        <v>1.5</v>
      </c>
      <c r="K94" s="22" t="n">
        <v>1.5</v>
      </c>
      <c r="L94" s="22" t="n">
        <v>4.0212</v>
      </c>
      <c r="M94" s="7" t="n">
        <v>0.373</v>
      </c>
      <c r="N94" s="5" t="inlineStr">
        <is>
          <t>sí</t>
        </is>
      </c>
    </row>
    <row r="95">
      <c r="A95" s="5" t="inlineStr">
        <is>
          <t>VBM</t>
        </is>
      </c>
      <c r="B95" s="5" t="inlineStr">
        <is>
          <t>tramo 6: máx. positivo</t>
        </is>
      </c>
      <c r="C95" s="21" t="n">
        <v>36</v>
      </c>
      <c r="D95" s="5" t="inlineStr">
        <is>
          <t>bottom</t>
        </is>
      </c>
      <c r="E95" s="5" t="inlineStr">
        <is>
          <t>ELR20</t>
        </is>
      </c>
      <c r="F95" s="20" t="n">
        <v>18.544</v>
      </c>
      <c r="G95" s="20" t="n">
        <v>40.314</v>
      </c>
      <c r="H95" s="7" t="n">
        <v>0.46</v>
      </c>
      <c r="I95" s="22" t="n">
        <v>1.8806</v>
      </c>
      <c r="J95" s="22" t="n">
        <v>1.5</v>
      </c>
      <c r="K95" s="22" t="n">
        <v>1.88</v>
      </c>
      <c r="L95" s="22" t="n">
        <v>4.0212</v>
      </c>
      <c r="M95" s="7" t="n">
        <v>0.468</v>
      </c>
      <c r="N95" s="5" t="inlineStr">
        <is>
          <t>sí</t>
        </is>
      </c>
    </row>
    <row r="96">
      <c r="A96" s="5" t="inlineStr">
        <is>
          <t>VBT</t>
        </is>
      </c>
      <c r="B96" s="5" t="inlineStr">
        <is>
          <t>tramo 1 cara izq. (X=0.40)</t>
        </is>
      </c>
      <c r="C96" s="21" t="n">
        <v>0.4</v>
      </c>
      <c r="D96" s="5" t="inlineStr">
        <is>
          <t>top</t>
        </is>
      </c>
      <c r="E96" s="5" t="inlineStr">
        <is>
          <t>ELR08</t>
        </is>
      </c>
      <c r="F96" s="20" t="n">
        <v>-21.572</v>
      </c>
      <c r="G96" s="20" t="n">
        <v>40.314</v>
      </c>
      <c r="H96" s="7" t="n">
        <v>0.5351</v>
      </c>
      <c r="I96" s="22" t="n">
        <v>2.1995</v>
      </c>
      <c r="J96" s="22" t="n">
        <v>1.5</v>
      </c>
      <c r="K96" s="22" t="n">
        <v>2.2</v>
      </c>
      <c r="L96" s="22" t="n">
        <v>4.0212</v>
      </c>
      <c r="M96" s="7" t="n">
        <v>0.547</v>
      </c>
      <c r="N96" s="5" t="inlineStr">
        <is>
          <t>sí</t>
        </is>
      </c>
    </row>
    <row r="97">
      <c r="A97" s="5" t="inlineStr">
        <is>
          <t>VBT</t>
        </is>
      </c>
      <c r="B97" s="5" t="inlineStr">
        <is>
          <t>tramo 1 cara der. (X=6.25)</t>
        </is>
      </c>
      <c r="C97" s="21" t="n">
        <v>6.25</v>
      </c>
      <c r="D97" s="5" t="inlineStr">
        <is>
          <t>top</t>
        </is>
      </c>
      <c r="E97" s="5" t="inlineStr">
        <is>
          <t>ELR08</t>
        </is>
      </c>
      <c r="F97" s="20" t="n">
        <v>-38.254</v>
      </c>
      <c r="G97" s="20" t="n">
        <v>40.314</v>
      </c>
      <c r="H97" s="7" t="n">
        <v>0.9489</v>
      </c>
      <c r="I97" s="22" t="n">
        <v>4.0252</v>
      </c>
      <c r="J97" s="22" t="n">
        <v>1.5</v>
      </c>
      <c r="K97" s="22" t="n">
        <v>4.03</v>
      </c>
      <c r="L97" s="22" t="n">
        <v>4.0212</v>
      </c>
      <c r="M97" s="8" t="n">
        <v>1.001</v>
      </c>
      <c r="N97" s="5" t="inlineStr">
        <is>
          <t>sí</t>
        </is>
      </c>
    </row>
    <row r="98">
      <c r="A98" s="5" t="inlineStr">
        <is>
          <t>VBT</t>
        </is>
      </c>
      <c r="B98" s="5" t="inlineStr">
        <is>
          <t>tramo 2 cara izq. (X=6.75)</t>
        </is>
      </c>
      <c r="C98" s="21" t="n">
        <v>6.75</v>
      </c>
      <c r="D98" s="5" t="inlineStr">
        <is>
          <t>top</t>
        </is>
      </c>
      <c r="E98" s="5" t="inlineStr">
        <is>
          <t>ELR08</t>
        </is>
      </c>
      <c r="F98" s="20" t="n">
        <v>-37.341</v>
      </c>
      <c r="G98" s="20" t="n">
        <v>40.314</v>
      </c>
      <c r="H98" s="7" t="n">
        <v>0.9263</v>
      </c>
      <c r="I98" s="22" t="n">
        <v>3.9221</v>
      </c>
      <c r="J98" s="22" t="n">
        <v>1.5</v>
      </c>
      <c r="K98" s="22" t="n">
        <v>3.92</v>
      </c>
      <c r="L98" s="22" t="n">
        <v>4.0212</v>
      </c>
      <c r="M98" s="11" t="n">
        <v>0.975</v>
      </c>
      <c r="N98" s="5" t="inlineStr">
        <is>
          <t>sí</t>
        </is>
      </c>
    </row>
    <row r="99">
      <c r="A99" s="5" t="inlineStr">
        <is>
          <t>VBT</t>
        </is>
      </c>
      <c r="B99" s="5" t="inlineStr">
        <is>
          <t>tramo 2 cara der. (X=12.75)</t>
        </is>
      </c>
      <c r="C99" s="21" t="n">
        <v>12.75</v>
      </c>
      <c r="D99" s="5" t="inlineStr">
        <is>
          <t>top</t>
        </is>
      </c>
      <c r="E99" s="5" t="inlineStr">
        <is>
          <t>ELR08</t>
        </is>
      </c>
      <c r="F99" s="20" t="n">
        <v>-29.537</v>
      </c>
      <c r="G99" s="20" t="n">
        <v>40.314</v>
      </c>
      <c r="H99" s="7" t="n">
        <v>0.7327</v>
      </c>
      <c r="I99" s="22" t="n">
        <v>3.056</v>
      </c>
      <c r="J99" s="22" t="n">
        <v>1.5</v>
      </c>
      <c r="K99" s="22" t="n">
        <v>3.06</v>
      </c>
      <c r="L99" s="22" t="n">
        <v>4.0212</v>
      </c>
      <c r="M99" s="7" t="n">
        <v>0.76</v>
      </c>
      <c r="N99" s="5" t="inlineStr">
        <is>
          <t>sí</t>
        </is>
      </c>
    </row>
    <row r="100">
      <c r="A100" s="5" t="inlineStr">
        <is>
          <t>VBT</t>
        </is>
      </c>
      <c r="B100" s="5" t="inlineStr">
        <is>
          <t>tramo 3 cara izq. (X=13.25)</t>
        </is>
      </c>
      <c r="C100" s="21" t="n">
        <v>13.25</v>
      </c>
      <c r="D100" s="5" t="inlineStr">
        <is>
          <t>top</t>
        </is>
      </c>
      <c r="E100" s="5" t="inlineStr">
        <is>
          <t>ELR08</t>
        </is>
      </c>
      <c r="F100" s="20" t="n">
        <v>-30.525</v>
      </c>
      <c r="G100" s="20" t="n">
        <v>40.314</v>
      </c>
      <c r="H100" s="7" t="n">
        <v>0.7572</v>
      </c>
      <c r="I100" s="22" t="n">
        <v>3.1642</v>
      </c>
      <c r="J100" s="22" t="n">
        <v>1.5</v>
      </c>
      <c r="K100" s="22" t="n">
        <v>3.16</v>
      </c>
      <c r="L100" s="22" t="n">
        <v>4.0212</v>
      </c>
      <c r="M100" s="7" t="n">
        <v>0.787</v>
      </c>
      <c r="N100" s="5" t="inlineStr">
        <is>
          <t>sí</t>
        </is>
      </c>
    </row>
    <row r="101">
      <c r="A101" s="5" t="inlineStr">
        <is>
          <t>VBT</t>
        </is>
      </c>
      <c r="B101" s="5" t="inlineStr">
        <is>
          <t>tramo 3 cara der. (X=19.25)</t>
        </is>
      </c>
      <c r="C101" s="21" t="n">
        <v>19.25</v>
      </c>
      <c r="D101" s="5" t="inlineStr">
        <is>
          <t>top</t>
        </is>
      </c>
      <c r="E101" s="5" t="inlineStr">
        <is>
          <t>ELR08</t>
        </is>
      </c>
      <c r="F101" s="20" t="n">
        <v>-32.235</v>
      </c>
      <c r="G101" s="20" t="n">
        <v>40.314</v>
      </c>
      <c r="H101" s="7" t="n">
        <v>0.7996</v>
      </c>
      <c r="I101" s="22" t="n">
        <v>3.3523</v>
      </c>
      <c r="J101" s="22" t="n">
        <v>1.5</v>
      </c>
      <c r="K101" s="22" t="n">
        <v>3.35</v>
      </c>
      <c r="L101" s="22" t="n">
        <v>4.0212</v>
      </c>
      <c r="M101" s="7" t="n">
        <v>0.834</v>
      </c>
      <c r="N101" s="5" t="inlineStr">
        <is>
          <t>sí</t>
        </is>
      </c>
    </row>
    <row r="102">
      <c r="A102" s="5" t="inlineStr">
        <is>
          <t>VBT</t>
        </is>
      </c>
      <c r="B102" s="5" t="inlineStr">
        <is>
          <t>tramo 4 cara izq. (X=19.75)</t>
        </is>
      </c>
      <c r="C102" s="21" t="n">
        <v>19.75</v>
      </c>
      <c r="D102" s="5" t="inlineStr">
        <is>
          <t>top</t>
        </is>
      </c>
      <c r="E102" s="5" t="inlineStr">
        <is>
          <t>ELR08</t>
        </is>
      </c>
      <c r="F102" s="20" t="n">
        <v>-32.449</v>
      </c>
      <c r="G102" s="20" t="n">
        <v>40.314</v>
      </c>
      <c r="H102" s="7" t="n">
        <v>0.8048999999999999</v>
      </c>
      <c r="I102" s="22" t="n">
        <v>3.3759</v>
      </c>
      <c r="J102" s="22" t="n">
        <v>1.5</v>
      </c>
      <c r="K102" s="22" t="n">
        <v>3.38</v>
      </c>
      <c r="L102" s="22" t="n">
        <v>4.0212</v>
      </c>
      <c r="M102" s="7" t="n">
        <v>0.84</v>
      </c>
      <c r="N102" s="5" t="inlineStr">
        <is>
          <t>sí</t>
        </is>
      </c>
    </row>
    <row r="103">
      <c r="A103" s="5" t="inlineStr">
        <is>
          <t>VBT</t>
        </is>
      </c>
      <c r="B103" s="5" t="inlineStr">
        <is>
          <t>tramo 4 cara der. (X=25.75)</t>
        </is>
      </c>
      <c r="C103" s="21" t="n">
        <v>25.75</v>
      </c>
      <c r="D103" s="5" t="inlineStr">
        <is>
          <t>top</t>
        </is>
      </c>
      <c r="E103" s="5" t="inlineStr">
        <is>
          <t>ELR08</t>
        </is>
      </c>
      <c r="F103" s="20" t="n">
        <v>-30.281</v>
      </c>
      <c r="G103" s="20" t="n">
        <v>40.314</v>
      </c>
      <c r="H103" s="7" t="n">
        <v>0.7511</v>
      </c>
      <c r="I103" s="22" t="n">
        <v>3.1375</v>
      </c>
      <c r="J103" s="22" t="n">
        <v>1.5</v>
      </c>
      <c r="K103" s="22" t="n">
        <v>3.14</v>
      </c>
      <c r="L103" s="22" t="n">
        <v>4.0212</v>
      </c>
      <c r="M103" s="7" t="n">
        <v>0.78</v>
      </c>
      <c r="N103" s="5" t="inlineStr">
        <is>
          <t>sí</t>
        </is>
      </c>
    </row>
    <row r="104">
      <c r="A104" s="5" t="inlineStr">
        <is>
          <t>VBT</t>
        </is>
      </c>
      <c r="B104" s="5" t="inlineStr">
        <is>
          <t>tramo 5 cara izq. (X=26.25)</t>
        </is>
      </c>
      <c r="C104" s="21" t="n">
        <v>26.25</v>
      </c>
      <c r="D104" s="5" t="inlineStr">
        <is>
          <t>top</t>
        </is>
      </c>
      <c r="E104" s="5" t="inlineStr">
        <is>
          <t>ELR08</t>
        </is>
      </c>
      <c r="F104" s="20" t="n">
        <v>-29.721</v>
      </c>
      <c r="G104" s="20" t="n">
        <v>40.314</v>
      </c>
      <c r="H104" s="7" t="n">
        <v>0.7372</v>
      </c>
      <c r="I104" s="22" t="n">
        <v>3.0762</v>
      </c>
      <c r="J104" s="22" t="n">
        <v>1.5</v>
      </c>
      <c r="K104" s="22" t="n">
        <v>3.08</v>
      </c>
      <c r="L104" s="22" t="n">
        <v>4.0212</v>
      </c>
      <c r="M104" s="7" t="n">
        <v>0.765</v>
      </c>
      <c r="N104" s="5" t="inlineStr">
        <is>
          <t>sí</t>
        </is>
      </c>
    </row>
    <row r="105">
      <c r="A105" s="5" t="inlineStr">
        <is>
          <t>VBT</t>
        </is>
      </c>
      <c r="B105" s="5" t="inlineStr">
        <is>
          <t>tramo 5 cara der. (X=32.25)</t>
        </is>
      </c>
      <c r="C105" s="21" t="n">
        <v>32.25</v>
      </c>
      <c r="D105" s="5" t="inlineStr">
        <is>
          <t>top</t>
        </is>
      </c>
      <c r="E105" s="5" t="inlineStr">
        <is>
          <t>ELR08</t>
        </is>
      </c>
      <c r="F105" s="20" t="n">
        <v>-37.061</v>
      </c>
      <c r="G105" s="20" t="n">
        <v>40.314</v>
      </c>
      <c r="H105" s="7" t="n">
        <v>0.9193</v>
      </c>
      <c r="I105" s="22" t="n">
        <v>3.8905</v>
      </c>
      <c r="J105" s="22" t="n">
        <v>1.5</v>
      </c>
      <c r="K105" s="22" t="n">
        <v>3.89</v>
      </c>
      <c r="L105" s="22" t="n">
        <v>4.0212</v>
      </c>
      <c r="M105" s="11" t="n">
        <v>0.967</v>
      </c>
      <c r="N105" s="5" t="inlineStr">
        <is>
          <t>sí</t>
        </is>
      </c>
    </row>
    <row r="106">
      <c r="A106" s="5" t="inlineStr">
        <is>
          <t>VBT</t>
        </is>
      </c>
      <c r="B106" s="5" t="inlineStr">
        <is>
          <t>tramo 6 cara izq. (X=32.75)</t>
        </is>
      </c>
      <c r="C106" s="21" t="n">
        <v>32.75</v>
      </c>
      <c r="D106" s="5" t="inlineStr">
        <is>
          <t>top</t>
        </is>
      </c>
      <c r="E106" s="5" t="inlineStr">
        <is>
          <t>ELR08</t>
        </is>
      </c>
      <c r="F106" s="20" t="n">
        <v>-38.405</v>
      </c>
      <c r="G106" s="20" t="n">
        <v>40.314</v>
      </c>
      <c r="H106" s="11" t="n">
        <v>0.9526</v>
      </c>
      <c r="I106" s="22" t="n">
        <v>4.0423</v>
      </c>
      <c r="J106" s="22" t="n">
        <v>1.5</v>
      </c>
      <c r="K106" s="22" t="n">
        <v>4.04</v>
      </c>
      <c r="L106" s="22" t="n">
        <v>4.0212</v>
      </c>
      <c r="M106" s="8" t="n">
        <v>1.005</v>
      </c>
      <c r="N106" s="5" t="inlineStr">
        <is>
          <t>sí</t>
        </is>
      </c>
    </row>
    <row r="107">
      <c r="A107" s="5" t="inlineStr">
        <is>
          <t>VBT</t>
        </is>
      </c>
      <c r="B107" s="5" t="inlineStr">
        <is>
          <t>tramo 6 cara der. (X=38.60)</t>
        </is>
      </c>
      <c r="C107" s="21" t="n">
        <v>38.6</v>
      </c>
      <c r="D107" s="5" t="inlineStr">
        <is>
          <t>top</t>
        </is>
      </c>
      <c r="E107" s="5" t="inlineStr">
        <is>
          <t>ELR14</t>
        </is>
      </c>
      <c r="F107" s="20" t="n">
        <v>-21.302</v>
      </c>
      <c r="G107" s="20" t="n">
        <v>40.314</v>
      </c>
      <c r="H107" s="7" t="n">
        <v>0.5284</v>
      </c>
      <c r="I107" s="22" t="n">
        <v>2.1709</v>
      </c>
      <c r="J107" s="22" t="n">
        <v>1.5</v>
      </c>
      <c r="K107" s="22" t="n">
        <v>2.17</v>
      </c>
      <c r="L107" s="22" t="n">
        <v>4.0212</v>
      </c>
      <c r="M107" s="7" t="n">
        <v>0.54</v>
      </c>
      <c r="N107" s="5" t="inlineStr">
        <is>
          <t>sí</t>
        </is>
      </c>
    </row>
    <row r="108">
      <c r="A108" s="5" t="inlineStr">
        <is>
          <t>VBT</t>
        </is>
      </c>
      <c r="B108" s="5" t="inlineStr">
        <is>
          <t>tramo 1: máx. positivo</t>
        </is>
      </c>
      <c r="C108" s="21" t="n">
        <v>3</v>
      </c>
      <c r="D108" s="5" t="inlineStr">
        <is>
          <t>bottom</t>
        </is>
      </c>
      <c r="E108" s="5" t="inlineStr">
        <is>
          <t>ELR08</t>
        </is>
      </c>
      <c r="F108" s="20" t="n">
        <v>18.63</v>
      </c>
      <c r="G108" s="20" t="n">
        <v>40.314</v>
      </c>
      <c r="H108" s="7" t="n">
        <v>0.4621</v>
      </c>
      <c r="I108" s="22" t="n">
        <v>1.8896</v>
      </c>
      <c r="J108" s="22" t="n">
        <v>1.5</v>
      </c>
      <c r="K108" s="22" t="n">
        <v>1.89</v>
      </c>
      <c r="L108" s="22" t="n">
        <v>4.0212</v>
      </c>
      <c r="M108" s="7" t="n">
        <v>0.47</v>
      </c>
      <c r="N108" s="5" t="inlineStr">
        <is>
          <t>sí</t>
        </is>
      </c>
    </row>
    <row r="109">
      <c r="A109" s="5" t="inlineStr">
        <is>
          <t>VBT</t>
        </is>
      </c>
      <c r="B109" s="5" t="inlineStr">
        <is>
          <t>tramo 2: máx. positivo</t>
        </is>
      </c>
      <c r="C109" s="21" t="n">
        <v>10</v>
      </c>
      <c r="D109" s="5" t="inlineStr">
        <is>
          <t>bottom</t>
        </is>
      </c>
      <c r="E109" s="5" t="inlineStr">
        <is>
          <t>ELR08</t>
        </is>
      </c>
      <c r="F109" s="20" t="n">
        <v>11.035</v>
      </c>
      <c r="G109" s="20" t="n">
        <v>40.314</v>
      </c>
      <c r="H109" s="7" t="n">
        <v>0.2737</v>
      </c>
      <c r="I109" s="22" t="n">
        <v>1.1046</v>
      </c>
      <c r="J109" s="22" t="n">
        <v>1.5</v>
      </c>
      <c r="K109" s="22" t="n">
        <v>1.5</v>
      </c>
      <c r="L109" s="22" t="n">
        <v>4.0212</v>
      </c>
      <c r="M109" s="7" t="n">
        <v>0.373</v>
      </c>
      <c r="N109" s="5" t="inlineStr">
        <is>
          <t>sí</t>
        </is>
      </c>
    </row>
    <row r="110">
      <c r="A110" s="5" t="inlineStr">
        <is>
          <t>VBT</t>
        </is>
      </c>
      <c r="B110" s="5" t="inlineStr">
        <is>
          <t>tramo 3: máx. positivo</t>
        </is>
      </c>
      <c r="C110" s="21" t="n">
        <v>16</v>
      </c>
      <c r="D110" s="5" t="inlineStr">
        <is>
          <t>bottom</t>
        </is>
      </c>
      <c r="E110" s="5" t="inlineStr">
        <is>
          <t>ELR08</t>
        </is>
      </c>
      <c r="F110" s="20" t="n">
        <v>12.379</v>
      </c>
      <c r="G110" s="20" t="n">
        <v>40.314</v>
      </c>
      <c r="H110" s="7" t="n">
        <v>0.3071</v>
      </c>
      <c r="I110" s="22" t="n">
        <v>1.242</v>
      </c>
      <c r="J110" s="22" t="n">
        <v>1.5</v>
      </c>
      <c r="K110" s="22" t="n">
        <v>1.5</v>
      </c>
      <c r="L110" s="22" t="n">
        <v>4.0212</v>
      </c>
      <c r="M110" s="7" t="n">
        <v>0.373</v>
      </c>
      <c r="N110" s="5" t="inlineStr">
        <is>
          <t>sí</t>
        </is>
      </c>
    </row>
    <row r="111">
      <c r="A111" s="5" t="inlineStr">
        <is>
          <t>VBT</t>
        </is>
      </c>
      <c r="B111" s="5" t="inlineStr">
        <is>
          <t>tramo 4: máx. positivo</t>
        </is>
      </c>
      <c r="C111" s="21" t="n">
        <v>23</v>
      </c>
      <c r="D111" s="5" t="inlineStr">
        <is>
          <t>bottom</t>
        </is>
      </c>
      <c r="E111" s="5" t="inlineStr">
        <is>
          <t>ELR08</t>
        </is>
      </c>
      <c r="F111" s="20" t="n">
        <v>12.386</v>
      </c>
      <c r="G111" s="20" t="n">
        <v>40.314</v>
      </c>
      <c r="H111" s="7" t="n">
        <v>0.3072</v>
      </c>
      <c r="I111" s="22" t="n">
        <v>1.2427</v>
      </c>
      <c r="J111" s="22" t="n">
        <v>1.5</v>
      </c>
      <c r="K111" s="22" t="n">
        <v>1.5</v>
      </c>
      <c r="L111" s="22" t="n">
        <v>4.0212</v>
      </c>
      <c r="M111" s="7" t="n">
        <v>0.373</v>
      </c>
      <c r="N111" s="5" t="inlineStr">
        <is>
          <t>sí</t>
        </is>
      </c>
    </row>
    <row r="112">
      <c r="A112" s="5" t="inlineStr">
        <is>
          <t>VBT</t>
        </is>
      </c>
      <c r="B112" s="5" t="inlineStr">
        <is>
          <t>tramo 5: máx. positivo</t>
        </is>
      </c>
      <c r="C112" s="21" t="n">
        <v>29</v>
      </c>
      <c r="D112" s="5" t="inlineStr">
        <is>
          <t>bottom</t>
        </is>
      </c>
      <c r="E112" s="5" t="inlineStr">
        <is>
          <t>ELR08</t>
        </is>
      </c>
      <c r="F112" s="20" t="n">
        <v>11.016</v>
      </c>
      <c r="G112" s="20" t="n">
        <v>40.314</v>
      </c>
      <c r="H112" s="7" t="n">
        <v>0.2733</v>
      </c>
      <c r="I112" s="22" t="n">
        <v>1.1027</v>
      </c>
      <c r="J112" s="22" t="n">
        <v>1.5</v>
      </c>
      <c r="K112" s="22" t="n">
        <v>1.5</v>
      </c>
      <c r="L112" s="22" t="n">
        <v>4.0212</v>
      </c>
      <c r="M112" s="7" t="n">
        <v>0.373</v>
      </c>
      <c r="N112" s="5" t="inlineStr">
        <is>
          <t>sí</t>
        </is>
      </c>
    </row>
    <row r="113">
      <c r="A113" s="5" t="inlineStr">
        <is>
          <t>VBT</t>
        </is>
      </c>
      <c r="B113" s="5" t="inlineStr">
        <is>
          <t>tramo 6: máx. positivo</t>
        </is>
      </c>
      <c r="C113" s="21" t="n">
        <v>36</v>
      </c>
      <c r="D113" s="5" t="inlineStr">
        <is>
          <t>bottom</t>
        </is>
      </c>
      <c r="E113" s="5" t="inlineStr">
        <is>
          <t>ELR08</t>
        </is>
      </c>
      <c r="F113" s="20" t="n">
        <v>18.624</v>
      </c>
      <c r="G113" s="20" t="n">
        <v>40.314</v>
      </c>
      <c r="H113" s="7" t="n">
        <v>0.462</v>
      </c>
      <c r="I113" s="22" t="n">
        <v>1.889</v>
      </c>
      <c r="J113" s="22" t="n">
        <v>1.5</v>
      </c>
      <c r="K113" s="22" t="n">
        <v>1.89</v>
      </c>
      <c r="L113" s="22" t="n">
        <v>4.0212</v>
      </c>
      <c r="M113" s="7" t="n">
        <v>0.47</v>
      </c>
      <c r="N113" s="5" t="inlineStr">
        <is>
          <t>sí</t>
        </is>
      </c>
    </row>
    <row r="115">
      <c r="A115" s="13" t="inlineStr">
        <is>
          <t>Resumen por viga (tabla del gráfico): η flexión por caso y As,req/As,disp máximos (caso final)</t>
        </is>
      </c>
    </row>
    <row r="116" ht="32" customHeight="1">
      <c r="A116" s="4" t="inlineStr">
        <is>
          <t>Viga</t>
        </is>
      </c>
      <c r="B116" s="4" t="inlineStr">
        <is>
          <t>η flexión CYPE/cype</t>
        </is>
      </c>
      <c r="C116" s="4" t="inlineStr">
        <is>
          <t>η flexión CYPE/codigo</t>
        </is>
      </c>
      <c r="D116" s="4" t="inlineStr">
        <is>
          <t>η flexión ROM/codigo</t>
        </is>
      </c>
      <c r="E116" s="4" t="inlineStr">
        <is>
          <t>As,req sup. (cm²)</t>
        </is>
      </c>
      <c r="F116" s="4" t="inlineStr">
        <is>
          <t>As,disp sup. (cm²)</t>
        </is>
      </c>
      <c r="G116" s="4" t="inlineStr">
        <is>
          <t>As,req inf. (cm²)</t>
        </is>
      </c>
      <c r="H116" s="4" t="inlineStr">
        <is>
          <t>As,disp inf. (cm²)</t>
        </is>
      </c>
      <c r="I116" s="4" t="inlineStr">
        <is>
          <t>Límite</t>
        </is>
      </c>
    </row>
    <row r="117">
      <c r="A117" s="5" t="inlineStr">
        <is>
          <t>VT1</t>
        </is>
      </c>
      <c r="B117" s="7" t="n">
        <v>0.9249000000000001</v>
      </c>
      <c r="C117" s="7" t="n">
        <v>0.8721</v>
      </c>
      <c r="D117" s="7" t="n">
        <v>0.8725000000000001</v>
      </c>
      <c r="E117" s="22" t="n">
        <v>15.67</v>
      </c>
      <c r="F117" s="22" t="n">
        <v>15.708</v>
      </c>
      <c r="G117" s="22" t="n">
        <v>13.68</v>
      </c>
      <c r="H117" s="22" t="n">
        <v>18.8496</v>
      </c>
      <c r="I117" s="21" t="n">
        <v>1</v>
      </c>
    </row>
    <row r="118">
      <c r="A118" s="5" t="inlineStr">
        <is>
          <t>VT2</t>
        </is>
      </c>
      <c r="B118" s="7" t="n">
        <v>0.8102</v>
      </c>
      <c r="C118" s="7" t="n">
        <v>0.7662</v>
      </c>
      <c r="D118" s="7" t="n">
        <v>0.77</v>
      </c>
      <c r="E118" s="22" t="n">
        <v>13.14</v>
      </c>
      <c r="F118" s="22" t="n">
        <v>15.708</v>
      </c>
      <c r="G118" s="22" t="n">
        <v>16.18</v>
      </c>
      <c r="H118" s="22" t="n">
        <v>21.9911</v>
      </c>
      <c r="I118" s="21" t="n">
        <v>1</v>
      </c>
    </row>
    <row r="119">
      <c r="A119" s="5" t="inlineStr">
        <is>
          <t>VT3</t>
        </is>
      </c>
      <c r="B119" s="7" t="n">
        <v>0.9262</v>
      </c>
      <c r="C119" s="7" t="n">
        <v>0.8759</v>
      </c>
      <c r="D119" s="7" t="n">
        <v>0.8789</v>
      </c>
      <c r="E119" s="22" t="n">
        <v>15.07</v>
      </c>
      <c r="F119" s="22" t="n">
        <v>15.708</v>
      </c>
      <c r="G119" s="22" t="n">
        <v>14.91</v>
      </c>
      <c r="H119" s="22" t="n">
        <v>21.9911</v>
      </c>
      <c r="I119" s="21" t="n">
        <v>1</v>
      </c>
    </row>
    <row r="120">
      <c r="A120" s="5" t="inlineStr">
        <is>
          <t>VT4</t>
        </is>
      </c>
      <c r="B120" s="7" t="n">
        <v>0.7829</v>
      </c>
      <c r="C120" s="7" t="n">
        <v>0.7403999999999999</v>
      </c>
      <c r="D120" s="7" t="n">
        <v>0.7439</v>
      </c>
      <c r="E120" s="22" t="n">
        <v>12.68</v>
      </c>
      <c r="F120" s="22" t="n">
        <v>15.708</v>
      </c>
      <c r="G120" s="22" t="n">
        <v>15.23</v>
      </c>
      <c r="H120" s="22" t="n">
        <v>21.9911</v>
      </c>
      <c r="I120" s="21" t="n">
        <v>1</v>
      </c>
    </row>
    <row r="121">
      <c r="A121" s="5" t="inlineStr">
        <is>
          <t>VT5</t>
        </is>
      </c>
      <c r="B121" s="7" t="n">
        <v>0.8991</v>
      </c>
      <c r="C121" s="7" t="n">
        <v>0.8502999999999999</v>
      </c>
      <c r="D121" s="7" t="n">
        <v>0.8532999999999999</v>
      </c>
      <c r="E121" s="22" t="n">
        <v>14.62</v>
      </c>
      <c r="F121" s="22" t="n">
        <v>15.708</v>
      </c>
      <c r="G121" s="22" t="n">
        <v>14.61</v>
      </c>
      <c r="H121" s="22" t="n">
        <v>21.9911</v>
      </c>
      <c r="I121" s="21" t="n">
        <v>1</v>
      </c>
    </row>
    <row r="122">
      <c r="A122" s="5" t="inlineStr">
        <is>
          <t>VT6</t>
        </is>
      </c>
      <c r="B122" s="7" t="n">
        <v>0.7561</v>
      </c>
      <c r="C122" s="7" t="n">
        <v>0.7151</v>
      </c>
      <c r="D122" s="7" t="n">
        <v>0.7188</v>
      </c>
      <c r="E122" s="22" t="n">
        <v>12.24</v>
      </c>
      <c r="F122" s="22" t="n">
        <v>15.708</v>
      </c>
      <c r="G122" s="22" t="n">
        <v>15.69</v>
      </c>
      <c r="H122" s="22" t="n">
        <v>21.9911</v>
      </c>
      <c r="I122" s="21" t="n">
        <v>1</v>
      </c>
    </row>
    <row r="123">
      <c r="A123" s="5" t="inlineStr">
        <is>
          <t>VT7</t>
        </is>
      </c>
      <c r="B123" s="7" t="n">
        <v>0.8462</v>
      </c>
      <c r="C123" s="7" t="n">
        <v>0.7979000000000001</v>
      </c>
      <c r="D123" s="7" t="n">
        <v>0.7982</v>
      </c>
      <c r="E123" s="22" t="n">
        <v>14.3</v>
      </c>
      <c r="F123" s="22" t="n">
        <v>15.708</v>
      </c>
      <c r="G123" s="22" t="n">
        <v>12.3</v>
      </c>
      <c r="H123" s="22" t="n">
        <v>18.8496</v>
      </c>
      <c r="I123" s="21" t="n">
        <v>1</v>
      </c>
    </row>
    <row r="124">
      <c r="A124" s="5" t="inlineStr">
        <is>
          <t>VBM</t>
        </is>
      </c>
      <c r="B124" s="7" t="n">
        <v>0.9366</v>
      </c>
      <c r="C124" s="7" t="n">
        <v>0.9275</v>
      </c>
      <c r="D124" s="7" t="n">
        <v>0.9308</v>
      </c>
      <c r="E124" s="22" t="n">
        <v>3.94</v>
      </c>
      <c r="F124" s="22" t="n">
        <v>4.0212</v>
      </c>
      <c r="G124" s="22" t="n">
        <v>1.88</v>
      </c>
      <c r="H124" s="22" t="n">
        <v>4.0212</v>
      </c>
      <c r="I124" s="21" t="n">
        <v>1</v>
      </c>
    </row>
    <row r="125">
      <c r="A125" s="5" t="inlineStr">
        <is>
          <t>VBT</t>
        </is>
      </c>
      <c r="B125" s="11" t="n">
        <v>0.9515</v>
      </c>
      <c r="C125" s="7" t="n">
        <v>0.9423</v>
      </c>
      <c r="D125" s="11" t="n">
        <v>0.9526</v>
      </c>
      <c r="E125" s="22" t="n">
        <v>4.04</v>
      </c>
      <c r="F125" s="22" t="n">
        <v>4.0212</v>
      </c>
      <c r="G125" s="22" t="n">
        <v>1.89</v>
      </c>
      <c r="H125" s="22" t="n">
        <v>4.0212</v>
      </c>
      <c r="I125" s="21" t="n">
        <v>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V6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1.8" customWidth="1" min="3" max="3"/>
    <col width="20.9" customWidth="1" min="4" max="4"/>
    <col width="28" customWidth="1" min="5" max="5"/>
    <col width="24.5" customWidth="1" min="6" max="6"/>
    <col width="10" customWidth="1" min="7" max="7"/>
    <col width="11" customWidth="1" min="8" max="8"/>
    <col width="11" customWidth="1" min="9" max="9"/>
    <col width="10" customWidth="1" min="10" max="10"/>
    <col width="10" customWidth="1" min="11" max="11"/>
    <col width="20" customWidth="1" min="12" max="12"/>
    <col width="23.6" customWidth="1" min="13" max="13"/>
    <col width="23.6" customWidth="1" min="14" max="14"/>
    <col width="19.1" customWidth="1" min="15" max="15"/>
    <col width="21.8" customWidth="1" min="16" max="16"/>
    <col width="11" customWidth="1" min="17" max="17"/>
    <col width="26.3" customWidth="1" min="18" max="18"/>
    <col width="22.7" customWidth="1" min="19" max="19"/>
    <col width="14.6" customWidth="1" min="20" max="20"/>
    <col width="20" customWidth="1" min="21" max="21"/>
    <col width="24.5" customWidth="1" min="22" max="22"/>
  </cols>
  <sheetData>
    <row r="1">
      <c r="A1" s="1" t="inlineStr">
        <is>
          <t>Vigas: cortante (A19.6.2), suspensión de las alveoplacas (A19.6.2.1(9)) y torsión (A19.6.3) — caso final CE-ROM</t>
        </is>
      </c>
    </row>
    <row r="2">
      <c r="A2" s="2" t="inlineStr">
        <is>
          <t>VRd,max con V en la cara; VRd,s y Asw/s con V a d de la cara; cot θ óptimo en [0.5, 2]; fywd = 400 MPa con ν1 = 0.6.</t>
        </is>
      </c>
    </row>
    <row r="4" ht="32" customHeight="1">
      <c r="A4" s="4" t="inlineStr">
        <is>
          <t>Viga</t>
        </is>
      </c>
      <c r="B4" s="4" t="inlineStr">
        <is>
          <t>Sección</t>
        </is>
      </c>
      <c r="C4" s="4" t="inlineStr">
        <is>
          <t>Combo</t>
        </is>
      </c>
      <c r="D4" s="4" t="inlineStr">
        <is>
          <t>VEd cara (kN)</t>
        </is>
      </c>
      <c r="E4" s="4" t="inlineStr">
        <is>
          <t>VRd,max (kN)</t>
        </is>
      </c>
      <c r="F4" s="4" t="inlineStr">
        <is>
          <t>η VRd,max</t>
        </is>
      </c>
      <c r="G4" s="4" t="inlineStr">
        <is>
          <t>VEd(d) (kN)</t>
        </is>
      </c>
      <c r="H4" s="4" t="inlineStr">
        <is>
          <t>VRd,c (kN)</t>
        </is>
      </c>
      <c r="I4" s="4" t="inlineStr">
        <is>
          <t>VRd,s (kN)</t>
        </is>
      </c>
      <c r="J4" s="4" t="inlineStr">
        <is>
          <t>η VRd,s</t>
        </is>
      </c>
      <c r="K4" s="4" t="inlineStr">
        <is>
          <t>cot θ</t>
        </is>
      </c>
      <c r="L4" s="4" t="inlineStr">
        <is>
          <t>Asw/s nec. V (cm²/m)</t>
        </is>
      </c>
      <c r="M4" s="4" t="inlineStr">
        <is>
          <t>Asw/s suspensión (cm²/m)</t>
        </is>
      </c>
      <c r="N4" s="4" t="inlineStr">
        <is>
          <t>Asw/s nec. total (cm²/m)</t>
        </is>
      </c>
      <c r="O4" s="4" t="inlineStr">
        <is>
          <t>Asw/s disp. (cm²/m)</t>
        </is>
      </c>
      <c r="P4" s="4" t="inlineStr">
        <is>
          <t>η estribos (V + susp.)</t>
        </is>
      </c>
      <c r="Q4" s="4" t="inlineStr">
        <is>
          <t>TEd (kN·m)</t>
        </is>
      </c>
      <c r="R4" s="4" t="inlineStr">
        <is>
          <t>η TEd/TRd,max + VEd/VRd,max</t>
        </is>
      </c>
      <c r="S4" s="4" t="inlineStr">
        <is>
          <t>η estribos V + T (rama)</t>
        </is>
      </c>
      <c r="T4" s="4" t="inlineStr">
        <is>
          <t>η cordón M + T</t>
        </is>
      </c>
      <c r="U4" s="4" t="inlineStr">
        <is>
          <t>Torsión en veredicto</t>
        </is>
      </c>
      <c r="V4" s="4" t="inlineStr">
        <is>
          <t>η cordón sensib. ala (F4)</t>
        </is>
      </c>
    </row>
    <row r="5">
      <c r="A5" s="5" t="inlineStr">
        <is>
          <t>VT1</t>
        </is>
      </c>
      <c r="B5" s="5" t="inlineStr">
        <is>
          <t>cara pilote mar - voladizo</t>
        </is>
      </c>
      <c r="C5" s="5" t="inlineStr">
        <is>
          <t>ELR14</t>
        </is>
      </c>
      <c r="D5" s="20" t="n">
        <v>146.548</v>
      </c>
      <c r="E5" s="20" t="n">
        <v>1935.36</v>
      </c>
      <c r="F5" s="7" t="n">
        <v>0.0757</v>
      </c>
      <c r="G5" s="20" t="n">
        <v>146.548</v>
      </c>
      <c r="H5" s="20" t="n">
        <v>184.1176</v>
      </c>
      <c r="I5" s="20" t="n">
        <v>814.301</v>
      </c>
      <c r="J5" s="7" t="n">
        <v>0.18</v>
      </c>
      <c r="K5" s="22" t="n">
        <v>2</v>
      </c>
      <c r="L5" s="22" t="n">
        <v>4.2404</v>
      </c>
      <c r="M5" s="22" t="n">
        <v>2.023</v>
      </c>
      <c r="N5" s="22" t="n">
        <v>6.263</v>
      </c>
      <c r="O5" s="22" t="n">
        <v>23.5619</v>
      </c>
      <c r="P5" s="7" t="n">
        <v>0.2658</v>
      </c>
      <c r="Q5" s="20" t="n">
        <v>43.502</v>
      </c>
      <c r="R5" s="7" t="n">
        <v>0.1881</v>
      </c>
      <c r="S5" s="7" t="n">
        <v>0.395</v>
      </c>
      <c r="T5" s="7" t="n">
        <v>0.3249</v>
      </c>
      <c r="U5" s="5" t="inlineStr">
        <is>
          <t>sí</t>
        </is>
      </c>
      <c r="V5" s="5" t="n"/>
    </row>
    <row r="6">
      <c r="A6" s="5" t="inlineStr">
        <is>
          <t>VT1</t>
        </is>
      </c>
      <c r="B6" s="5" t="inlineStr">
        <is>
          <t>cara pilote mar - vano</t>
        </is>
      </c>
      <c r="C6" s="5" t="inlineStr">
        <is>
          <t>ELR08</t>
        </is>
      </c>
      <c r="D6" s="20" t="n">
        <v>358.311</v>
      </c>
      <c r="E6" s="20" t="n">
        <v>1935.36</v>
      </c>
      <c r="F6" s="7" t="n">
        <v>0.1851</v>
      </c>
      <c r="G6" s="20" t="n">
        <v>319.338</v>
      </c>
      <c r="H6" s="20" t="n">
        <v>184.1176</v>
      </c>
      <c r="I6" s="20" t="n">
        <v>814.301</v>
      </c>
      <c r="J6" s="7" t="n">
        <v>0.3922</v>
      </c>
      <c r="K6" s="22" t="n">
        <v>2</v>
      </c>
      <c r="L6" s="22" t="n">
        <v>9.2401</v>
      </c>
      <c r="M6" s="22" t="n">
        <v>2.023</v>
      </c>
      <c r="N6" s="22" t="n">
        <v>11.263</v>
      </c>
      <c r="O6" s="22" t="n">
        <v>23.5619</v>
      </c>
      <c r="P6" s="7" t="n">
        <v>0.478</v>
      </c>
      <c r="Q6" s="20" t="n">
        <v>26.486</v>
      </c>
      <c r="R6" s="7" t="n">
        <v>0.2536</v>
      </c>
      <c r="S6" s="7" t="n">
        <v>0.5407</v>
      </c>
      <c r="T6" s="11" t="n">
        <v>0.9727</v>
      </c>
      <c r="U6" s="5" t="inlineStr">
        <is>
          <t>sí</t>
        </is>
      </c>
      <c r="V6" s="8" t="n">
        <v>1.1845</v>
      </c>
    </row>
    <row r="7">
      <c r="A7" s="5" t="inlineStr">
        <is>
          <t>VT1</t>
        </is>
      </c>
      <c r="B7" s="5" t="inlineStr">
        <is>
          <t>cara pilote tierra - vano</t>
        </is>
      </c>
      <c r="C7" s="5" t="inlineStr">
        <is>
          <t>ELR20</t>
        </is>
      </c>
      <c r="D7" s="20" t="n">
        <v>161.826</v>
      </c>
      <c r="E7" s="20" t="n">
        <v>1935.36</v>
      </c>
      <c r="F7" s="7" t="n">
        <v>0.08359999999999999</v>
      </c>
      <c r="G7" s="20" t="n">
        <v>162.061</v>
      </c>
      <c r="H7" s="20" t="n">
        <v>184.1176</v>
      </c>
      <c r="I7" s="20" t="n">
        <v>814.301</v>
      </c>
      <c r="J7" s="7" t="n">
        <v>0.199</v>
      </c>
      <c r="K7" s="22" t="n">
        <v>2</v>
      </c>
      <c r="L7" s="22" t="n">
        <v>4.6893</v>
      </c>
      <c r="M7" s="22" t="n">
        <v>2.023</v>
      </c>
      <c r="N7" s="22" t="n">
        <v>5.75</v>
      </c>
      <c r="O7" s="22" t="n">
        <v>23.5619</v>
      </c>
      <c r="P7" s="7" t="n">
        <v>0.2441</v>
      </c>
      <c r="Q7" s="20" t="n">
        <v>27.192</v>
      </c>
      <c r="R7" s="7" t="n">
        <v>0.1539</v>
      </c>
      <c r="S7" s="7" t="n">
        <v>0.3124</v>
      </c>
      <c r="T7" s="7" t="n">
        <v>0.7295</v>
      </c>
      <c r="U7" s="5" t="inlineStr">
        <is>
          <t>sí</t>
        </is>
      </c>
      <c r="V7" s="7" t="n">
        <v>0.906</v>
      </c>
    </row>
    <row r="8">
      <c r="A8" s="5" t="inlineStr">
        <is>
          <t>VT1</t>
        </is>
      </c>
      <c r="B8" s="5" t="inlineStr">
        <is>
          <t>cara pilote tierra - vuelo</t>
        </is>
      </c>
      <c r="C8" s="5" t="inlineStr">
        <is>
          <t>ELR08</t>
        </is>
      </c>
      <c r="D8" s="20" t="n">
        <v>63.7</v>
      </c>
      <c r="E8" s="20" t="n">
        <v>1935.36</v>
      </c>
      <c r="F8" s="7" t="n">
        <v>0.0329</v>
      </c>
      <c r="G8" s="20" t="n">
        <v>63.7</v>
      </c>
      <c r="H8" s="20" t="n">
        <v>184.1176</v>
      </c>
      <c r="I8" s="20" t="n">
        <v>814.301</v>
      </c>
      <c r="J8" s="7" t="n">
        <v>0.07820000000000001</v>
      </c>
      <c r="K8" s="22" t="n">
        <v>2</v>
      </c>
      <c r="L8" s="22" t="n">
        <v>1.8432</v>
      </c>
      <c r="M8" s="22" t="n">
        <v>0</v>
      </c>
      <c r="N8" s="22" t="n">
        <v>1.843</v>
      </c>
      <c r="O8" s="22" t="n">
        <v>23.5619</v>
      </c>
      <c r="P8" s="7" t="n">
        <v>0.07820000000000001</v>
      </c>
      <c r="Q8" s="20" t="n">
        <v>44.986</v>
      </c>
      <c r="R8" s="7" t="n">
        <v>0.1492</v>
      </c>
      <c r="S8" s="7" t="n">
        <v>0.2118</v>
      </c>
      <c r="T8" s="7" t="n">
        <v>0.1576</v>
      </c>
      <c r="U8" s="5" t="inlineStr">
        <is>
          <t>sí</t>
        </is>
      </c>
      <c r="V8" s="5" t="n"/>
    </row>
    <row r="9">
      <c r="A9" s="5" t="inlineStr">
        <is>
          <t>VT2</t>
        </is>
      </c>
      <c r="B9" s="5" t="inlineStr">
        <is>
          <t>cara pilote mar - voladizo</t>
        </is>
      </c>
      <c r="C9" s="5" t="inlineStr">
        <is>
          <t>ELR14</t>
        </is>
      </c>
      <c r="D9" s="20" t="n">
        <v>105.807</v>
      </c>
      <c r="E9" s="20" t="n">
        <v>1209.6</v>
      </c>
      <c r="F9" s="7" t="n">
        <v>0.08749999999999999</v>
      </c>
      <c r="G9" s="20" t="n">
        <v>105.807</v>
      </c>
      <c r="H9" s="20" t="n">
        <v>134.5907</v>
      </c>
      <c r="I9" s="20" t="n">
        <v>814.301</v>
      </c>
      <c r="J9" s="7" t="n">
        <v>0.1299</v>
      </c>
      <c r="K9" s="22" t="n">
        <v>2</v>
      </c>
      <c r="L9" s="22" t="n">
        <v>3.0615</v>
      </c>
      <c r="M9" s="22" t="n">
        <v>4.0694</v>
      </c>
      <c r="N9" s="22" t="n">
        <v>7.131</v>
      </c>
      <c r="O9" s="22" t="n">
        <v>23.5619</v>
      </c>
      <c r="P9" s="7" t="n">
        <v>0.3026</v>
      </c>
      <c r="Q9" s="20" t="n">
        <v>3.136</v>
      </c>
      <c r="R9" s="23" t="n">
        <v>0.1025</v>
      </c>
      <c r="S9" s="23" t="n">
        <v>0.3171</v>
      </c>
      <c r="T9" s="23" t="n">
        <v>0.0394</v>
      </c>
      <c r="U9" s="5" t="inlineStr">
        <is>
          <t>info</t>
        </is>
      </c>
      <c r="V9" s="5" t="n"/>
    </row>
    <row r="10">
      <c r="A10" s="5" t="inlineStr">
        <is>
          <t>VT2</t>
        </is>
      </c>
      <c r="B10" s="5" t="inlineStr">
        <is>
          <t>cara pilote mar - vano</t>
        </is>
      </c>
      <c r="C10" s="5" t="inlineStr">
        <is>
          <t>ELR08</t>
        </is>
      </c>
      <c r="D10" s="20" t="n">
        <v>539.236</v>
      </c>
      <c r="E10" s="20" t="n">
        <v>1209.6</v>
      </c>
      <c r="F10" s="7" t="n">
        <v>0.4458</v>
      </c>
      <c r="G10" s="20" t="n">
        <v>443.196</v>
      </c>
      <c r="H10" s="20" t="n">
        <v>134.5907</v>
      </c>
      <c r="I10" s="20" t="n">
        <v>814.301</v>
      </c>
      <c r="J10" s="7" t="n">
        <v>0.5443</v>
      </c>
      <c r="K10" s="22" t="n">
        <v>2</v>
      </c>
      <c r="L10" s="22" t="n">
        <v>12.8239</v>
      </c>
      <c r="M10" s="22" t="n">
        <v>4.0694</v>
      </c>
      <c r="N10" s="22" t="n">
        <v>16.893</v>
      </c>
      <c r="O10" s="22" t="n">
        <v>23.5619</v>
      </c>
      <c r="P10" s="7" t="n">
        <v>0.717</v>
      </c>
      <c r="Q10" s="20" t="n">
        <v>17.536</v>
      </c>
      <c r="R10" s="23" t="n">
        <v>0.5339</v>
      </c>
      <c r="S10" s="23" t="n">
        <v>0.7836</v>
      </c>
      <c r="T10" s="23" t="n">
        <v>0.8326</v>
      </c>
      <c r="U10" s="5" t="inlineStr">
        <is>
          <t>info</t>
        </is>
      </c>
      <c r="V10" s="5" t="n"/>
    </row>
    <row r="11">
      <c r="A11" s="5" t="inlineStr">
        <is>
          <t>VT2</t>
        </is>
      </c>
      <c r="B11" s="5" t="inlineStr">
        <is>
          <t>cara pilote tierra - vano</t>
        </is>
      </c>
      <c r="C11" s="5" t="inlineStr">
        <is>
          <t>ELR20</t>
        </is>
      </c>
      <c r="D11" s="20" t="n">
        <v>355.26</v>
      </c>
      <c r="E11" s="20" t="n">
        <v>1209.6</v>
      </c>
      <c r="F11" s="7" t="n">
        <v>0.2937</v>
      </c>
      <c r="G11" s="20" t="n">
        <v>265.249</v>
      </c>
      <c r="H11" s="20" t="n">
        <v>134.5907</v>
      </c>
      <c r="I11" s="20" t="n">
        <v>814.301</v>
      </c>
      <c r="J11" s="7" t="n">
        <v>0.3257</v>
      </c>
      <c r="K11" s="22" t="n">
        <v>2</v>
      </c>
      <c r="L11" s="22" t="n">
        <v>7.675</v>
      </c>
      <c r="M11" s="22" t="n">
        <v>4.0694</v>
      </c>
      <c r="N11" s="22" t="n">
        <v>11.744</v>
      </c>
      <c r="O11" s="22" t="n">
        <v>23.5619</v>
      </c>
      <c r="P11" s="7" t="n">
        <v>0.4984</v>
      </c>
      <c r="Q11" s="20" t="n">
        <v>16.507</v>
      </c>
      <c r="R11" s="23" t="n">
        <v>0.3766</v>
      </c>
      <c r="S11" s="23" t="n">
        <v>0.5639</v>
      </c>
      <c r="T11" s="23" t="n">
        <v>0.6159</v>
      </c>
      <c r="U11" s="5" t="inlineStr">
        <is>
          <t>info</t>
        </is>
      </c>
      <c r="V11" s="5" t="n"/>
    </row>
    <row r="12">
      <c r="A12" s="5" t="inlineStr">
        <is>
          <t>VT2</t>
        </is>
      </c>
      <c r="B12" s="5" t="inlineStr">
        <is>
          <t>cara pilote tierra - vuelo</t>
        </is>
      </c>
      <c r="C12" s="5" t="inlineStr">
        <is>
          <t>ELR08</t>
        </is>
      </c>
      <c r="D12" s="20" t="n">
        <v>102.573</v>
      </c>
      <c r="E12" s="20" t="n">
        <v>1209.6</v>
      </c>
      <c r="F12" s="7" t="n">
        <v>0.0848</v>
      </c>
      <c r="G12" s="20" t="n">
        <v>102.573</v>
      </c>
      <c r="H12" s="20" t="n">
        <v>134.5907</v>
      </c>
      <c r="I12" s="20" t="n">
        <v>814.301</v>
      </c>
      <c r="J12" s="7" t="n">
        <v>0.126</v>
      </c>
      <c r="K12" s="22" t="n">
        <v>2</v>
      </c>
      <c r="L12" s="22" t="n">
        <v>2.968</v>
      </c>
      <c r="M12" s="22" t="n">
        <v>0</v>
      </c>
      <c r="N12" s="22" t="n">
        <v>2.968</v>
      </c>
      <c r="O12" s="22" t="n">
        <v>23.5619</v>
      </c>
      <c r="P12" s="7" t="n">
        <v>0.126</v>
      </c>
      <c r="Q12" s="20" t="n">
        <v>2.019</v>
      </c>
      <c r="R12" s="23" t="n">
        <v>0.0949</v>
      </c>
      <c r="S12" s="23" t="n">
        <v>0.136</v>
      </c>
      <c r="T12" s="23" t="n">
        <v>0.0173</v>
      </c>
      <c r="U12" s="5" t="inlineStr">
        <is>
          <t>info</t>
        </is>
      </c>
      <c r="V12" s="5" t="n"/>
    </row>
    <row r="13">
      <c r="A13" s="5" t="inlineStr">
        <is>
          <t>VT3</t>
        </is>
      </c>
      <c r="B13" s="5" t="inlineStr">
        <is>
          <t>cara pilote mar - voladizo</t>
        </is>
      </c>
      <c r="C13" s="5" t="inlineStr">
        <is>
          <t>ELR14</t>
        </is>
      </c>
      <c r="D13" s="20" t="n">
        <v>173.132</v>
      </c>
      <c r="E13" s="20" t="n">
        <v>1209.6</v>
      </c>
      <c r="F13" s="7" t="n">
        <v>0.1431</v>
      </c>
      <c r="G13" s="20" t="n">
        <v>173.132</v>
      </c>
      <c r="H13" s="20" t="n">
        <v>134.5907</v>
      </c>
      <c r="I13" s="20" t="n">
        <v>814.301</v>
      </c>
      <c r="J13" s="7" t="n">
        <v>0.2126</v>
      </c>
      <c r="K13" s="22" t="n">
        <v>2</v>
      </c>
      <c r="L13" s="22" t="n">
        <v>5.0096</v>
      </c>
      <c r="M13" s="22" t="n">
        <v>4.0928</v>
      </c>
      <c r="N13" s="22" t="n">
        <v>9.102</v>
      </c>
      <c r="O13" s="22" t="n">
        <v>23.5619</v>
      </c>
      <c r="P13" s="7" t="n">
        <v>0.3863</v>
      </c>
      <c r="Q13" s="20" t="n">
        <v>1.57</v>
      </c>
      <c r="R13" s="23" t="n">
        <v>0.151</v>
      </c>
      <c r="S13" s="23" t="n">
        <v>0.3941</v>
      </c>
      <c r="T13" s="23" t="n">
        <v>0.1886</v>
      </c>
      <c r="U13" s="5" t="inlineStr">
        <is>
          <t>info</t>
        </is>
      </c>
      <c r="V13" s="5" t="n"/>
    </row>
    <row r="14">
      <c r="A14" s="5" t="inlineStr">
        <is>
          <t>VT3</t>
        </is>
      </c>
      <c r="B14" s="5" t="inlineStr">
        <is>
          <t>cara pilote mar - vano</t>
        </is>
      </c>
      <c r="C14" s="5" t="inlineStr">
        <is>
          <t>ELR08</t>
        </is>
      </c>
      <c r="D14" s="20" t="n">
        <v>516.833</v>
      </c>
      <c r="E14" s="20" t="n">
        <v>1209.6</v>
      </c>
      <c r="F14" s="7" t="n">
        <v>0.4273</v>
      </c>
      <c r="G14" s="20" t="n">
        <v>428.571</v>
      </c>
      <c r="H14" s="20" t="n">
        <v>134.5907</v>
      </c>
      <c r="I14" s="20" t="n">
        <v>814.301</v>
      </c>
      <c r="J14" s="7" t="n">
        <v>0.5263</v>
      </c>
      <c r="K14" s="22" t="n">
        <v>2</v>
      </c>
      <c r="L14" s="22" t="n">
        <v>12.4008</v>
      </c>
      <c r="M14" s="22" t="n">
        <v>4.0928</v>
      </c>
      <c r="N14" s="22" t="n">
        <v>16.494</v>
      </c>
      <c r="O14" s="22" t="n">
        <v>23.5619</v>
      </c>
      <c r="P14" s="7" t="n">
        <v>0.7</v>
      </c>
      <c r="Q14" s="20" t="n">
        <v>1.249</v>
      </c>
      <c r="R14" s="23" t="n">
        <v>0.4336</v>
      </c>
      <c r="S14" s="23" t="n">
        <v>0.7036</v>
      </c>
      <c r="T14" s="23" t="n">
        <v>0.8834</v>
      </c>
      <c r="U14" s="5" t="inlineStr">
        <is>
          <t>info</t>
        </is>
      </c>
      <c r="V14" s="5" t="n"/>
    </row>
    <row r="15">
      <c r="A15" s="5" t="inlineStr">
        <is>
          <t>VT3</t>
        </is>
      </c>
      <c r="B15" s="5" t="inlineStr">
        <is>
          <t>cara pilote tierra - vano</t>
        </is>
      </c>
      <c r="C15" s="5" t="inlineStr">
        <is>
          <t>ELR20</t>
        </is>
      </c>
      <c r="D15" s="20" t="n">
        <v>327.379</v>
      </c>
      <c r="E15" s="20" t="n">
        <v>1209.6</v>
      </c>
      <c r="F15" s="7" t="n">
        <v>0.2707</v>
      </c>
      <c r="G15" s="20" t="n">
        <v>245.542</v>
      </c>
      <c r="H15" s="20" t="n">
        <v>134.5907</v>
      </c>
      <c r="I15" s="20" t="n">
        <v>814.301</v>
      </c>
      <c r="J15" s="7" t="n">
        <v>0.3015</v>
      </c>
      <c r="K15" s="22" t="n">
        <v>2</v>
      </c>
      <c r="L15" s="22" t="n">
        <v>7.1048</v>
      </c>
      <c r="M15" s="22" t="n">
        <v>4.0928</v>
      </c>
      <c r="N15" s="22" t="n">
        <v>11.198</v>
      </c>
      <c r="O15" s="22" t="n">
        <v>23.5619</v>
      </c>
      <c r="P15" s="7" t="n">
        <v>0.4752</v>
      </c>
      <c r="Q15" s="20" t="n">
        <v>2.279</v>
      </c>
      <c r="R15" s="23" t="n">
        <v>0.2821</v>
      </c>
      <c r="S15" s="23" t="n">
        <v>0.483</v>
      </c>
      <c r="T15" s="23" t="n">
        <v>0.5772</v>
      </c>
      <c r="U15" s="5" t="inlineStr">
        <is>
          <t>info</t>
        </is>
      </c>
      <c r="V15" s="5" t="n"/>
    </row>
    <row r="16">
      <c r="A16" s="5" t="inlineStr">
        <is>
          <t>VT3</t>
        </is>
      </c>
      <c r="B16" s="5" t="inlineStr">
        <is>
          <t>cara pilote tierra - vuelo</t>
        </is>
      </c>
      <c r="C16" s="5" t="inlineStr">
        <is>
          <t>ELR08</t>
        </is>
      </c>
      <c r="D16" s="20" t="n">
        <v>88.669</v>
      </c>
      <c r="E16" s="20" t="n">
        <v>1209.6</v>
      </c>
      <c r="F16" s="7" t="n">
        <v>0.0733</v>
      </c>
      <c r="G16" s="20" t="n">
        <v>88.669</v>
      </c>
      <c r="H16" s="20" t="n">
        <v>134.5907</v>
      </c>
      <c r="I16" s="20" t="n">
        <v>814.301</v>
      </c>
      <c r="J16" s="7" t="n">
        <v>0.1089</v>
      </c>
      <c r="K16" s="22" t="n">
        <v>2</v>
      </c>
      <c r="L16" s="22" t="n">
        <v>2.5657</v>
      </c>
      <c r="M16" s="22" t="n">
        <v>0</v>
      </c>
      <c r="N16" s="22" t="n">
        <v>2.566</v>
      </c>
      <c r="O16" s="22" t="n">
        <v>23.5619</v>
      </c>
      <c r="P16" s="7" t="n">
        <v>0.1089</v>
      </c>
      <c r="Q16" s="20" t="n">
        <v>1.537</v>
      </c>
      <c r="R16" s="23" t="n">
        <v>0.081</v>
      </c>
      <c r="S16" s="23" t="n">
        <v>0.1165</v>
      </c>
      <c r="T16" s="23" t="n">
        <v>0.0125</v>
      </c>
      <c r="U16" s="5" t="inlineStr">
        <is>
          <t>info</t>
        </is>
      </c>
      <c r="V16" s="5" t="n"/>
    </row>
    <row r="17">
      <c r="A17" s="5" t="inlineStr">
        <is>
          <t>VT4</t>
        </is>
      </c>
      <c r="B17" s="5" t="inlineStr">
        <is>
          <t>cara pilote mar - voladizo</t>
        </is>
      </c>
      <c r="C17" s="5" t="inlineStr">
        <is>
          <t>ELR14</t>
        </is>
      </c>
      <c r="D17" s="20" t="n">
        <v>98.012</v>
      </c>
      <c r="E17" s="20" t="n">
        <v>1209.6</v>
      </c>
      <c r="F17" s="7" t="n">
        <v>0.081</v>
      </c>
      <c r="G17" s="20" t="n">
        <v>98.012</v>
      </c>
      <c r="H17" s="20" t="n">
        <v>134.5907</v>
      </c>
      <c r="I17" s="20" t="n">
        <v>814.301</v>
      </c>
      <c r="J17" s="7" t="n">
        <v>0.1204</v>
      </c>
      <c r="K17" s="22" t="n">
        <v>2</v>
      </c>
      <c r="L17" s="22" t="n">
        <v>2.836</v>
      </c>
      <c r="M17" s="22" t="n">
        <v>4.0928</v>
      </c>
      <c r="N17" s="22" t="n">
        <v>6.929</v>
      </c>
      <c r="O17" s="22" t="n">
        <v>23.5619</v>
      </c>
      <c r="P17" s="7" t="n">
        <v>0.2941</v>
      </c>
      <c r="Q17" s="20" t="n">
        <v>0</v>
      </c>
      <c r="R17" s="23" t="n">
        <v>0.081</v>
      </c>
      <c r="S17" s="23" t="n">
        <v>0.2941</v>
      </c>
      <c r="T17" s="23" t="n">
        <v>0.0279</v>
      </c>
      <c r="U17" s="5" t="inlineStr">
        <is>
          <t>info</t>
        </is>
      </c>
      <c r="V17" s="5" t="n"/>
    </row>
    <row r="18">
      <c r="A18" s="5" t="inlineStr">
        <is>
          <t>VT4</t>
        </is>
      </c>
      <c r="B18" s="5" t="inlineStr">
        <is>
          <t>cara pilote mar - vano</t>
        </is>
      </c>
      <c r="C18" s="5" t="inlineStr">
        <is>
          <t>ELR08</t>
        </is>
      </c>
      <c r="D18" s="20" t="n">
        <v>504.893</v>
      </c>
      <c r="E18" s="20" t="n">
        <v>1209.6</v>
      </c>
      <c r="F18" s="7" t="n">
        <v>0.4174</v>
      </c>
      <c r="G18" s="20" t="n">
        <v>415.507</v>
      </c>
      <c r="H18" s="20" t="n">
        <v>134.5907</v>
      </c>
      <c r="I18" s="20" t="n">
        <v>814.301</v>
      </c>
      <c r="J18" s="7" t="n">
        <v>0.5103</v>
      </c>
      <c r="K18" s="22" t="n">
        <v>2</v>
      </c>
      <c r="L18" s="22" t="n">
        <v>12.0228</v>
      </c>
      <c r="M18" s="22" t="n">
        <v>4.0928</v>
      </c>
      <c r="N18" s="22" t="n">
        <v>16.116</v>
      </c>
      <c r="O18" s="22" t="n">
        <v>23.5619</v>
      </c>
      <c r="P18" s="7" t="n">
        <v>0.6840000000000001</v>
      </c>
      <c r="Q18" s="20" t="n">
        <v>0.797</v>
      </c>
      <c r="R18" s="23" t="n">
        <v>0.4214</v>
      </c>
      <c r="S18" s="23" t="n">
        <v>0.6870000000000001</v>
      </c>
      <c r="T18" s="23" t="n">
        <v>0.7467</v>
      </c>
      <c r="U18" s="5" t="inlineStr">
        <is>
          <t>info</t>
        </is>
      </c>
      <c r="V18" s="5" t="n"/>
    </row>
    <row r="19">
      <c r="A19" s="5" t="inlineStr">
        <is>
          <t>VT4</t>
        </is>
      </c>
      <c r="B19" s="5" t="inlineStr">
        <is>
          <t>cara pilote tierra - vano</t>
        </is>
      </c>
      <c r="C19" s="5" t="inlineStr">
        <is>
          <t>ELR20</t>
        </is>
      </c>
      <c r="D19" s="20" t="n">
        <v>328.38</v>
      </c>
      <c r="E19" s="20" t="n">
        <v>1209.6</v>
      </c>
      <c r="F19" s="7" t="n">
        <v>0.2715</v>
      </c>
      <c r="G19" s="20" t="n">
        <v>244.531</v>
      </c>
      <c r="H19" s="20" t="n">
        <v>134.5907</v>
      </c>
      <c r="I19" s="20" t="n">
        <v>814.301</v>
      </c>
      <c r="J19" s="7" t="n">
        <v>0.3003</v>
      </c>
      <c r="K19" s="22" t="n">
        <v>2</v>
      </c>
      <c r="L19" s="22" t="n">
        <v>7.0755</v>
      </c>
      <c r="M19" s="22" t="n">
        <v>4.0928</v>
      </c>
      <c r="N19" s="22" t="n">
        <v>11.168</v>
      </c>
      <c r="O19" s="22" t="n">
        <v>23.5619</v>
      </c>
      <c r="P19" s="7" t="n">
        <v>0.474</v>
      </c>
      <c r="Q19" s="20" t="n">
        <v>0</v>
      </c>
      <c r="R19" s="23" t="n">
        <v>0.2715</v>
      </c>
      <c r="S19" s="23" t="n">
        <v>0.474</v>
      </c>
      <c r="T19" s="23" t="n">
        <v>0.5588</v>
      </c>
      <c r="U19" s="5" t="inlineStr">
        <is>
          <t>info</t>
        </is>
      </c>
      <c r="V19" s="5" t="n"/>
    </row>
    <row r="20">
      <c r="A20" s="5" t="inlineStr">
        <is>
          <t>VT4</t>
        </is>
      </c>
      <c r="B20" s="5" t="inlineStr">
        <is>
          <t>cara pilote tierra - vuelo</t>
        </is>
      </c>
      <c r="C20" s="5" t="inlineStr">
        <is>
          <t>ELR08</t>
        </is>
      </c>
      <c r="D20" s="20" t="n">
        <v>93.15600000000001</v>
      </c>
      <c r="E20" s="20" t="n">
        <v>1209.6</v>
      </c>
      <c r="F20" s="7" t="n">
        <v>0.077</v>
      </c>
      <c r="G20" s="20" t="n">
        <v>93.15600000000001</v>
      </c>
      <c r="H20" s="20" t="n">
        <v>134.5907</v>
      </c>
      <c r="I20" s="20" t="n">
        <v>814.301</v>
      </c>
      <c r="J20" s="7" t="n">
        <v>0.1144</v>
      </c>
      <c r="K20" s="22" t="n">
        <v>2</v>
      </c>
      <c r="L20" s="22" t="n">
        <v>2.6955</v>
      </c>
      <c r="M20" s="22" t="n">
        <v>0</v>
      </c>
      <c r="N20" s="22" t="n">
        <v>2.695</v>
      </c>
      <c r="O20" s="22" t="n">
        <v>23.5619</v>
      </c>
      <c r="P20" s="7" t="n">
        <v>0.1144</v>
      </c>
      <c r="Q20" s="20" t="n">
        <v>0.292</v>
      </c>
      <c r="R20" s="23" t="n">
        <v>0.0785</v>
      </c>
      <c r="S20" s="23" t="n">
        <v>0.1159</v>
      </c>
      <c r="T20" s="23" t="n">
        <v>0.008800000000000001</v>
      </c>
      <c r="U20" s="5" t="inlineStr">
        <is>
          <t>info</t>
        </is>
      </c>
      <c r="V20" s="5" t="n"/>
    </row>
    <row r="21">
      <c r="A21" s="5" t="inlineStr">
        <is>
          <t>VT5</t>
        </is>
      </c>
      <c r="B21" s="5" t="inlineStr">
        <is>
          <t>cara pilote mar - voladizo</t>
        </is>
      </c>
      <c r="C21" s="5" t="inlineStr">
        <is>
          <t>ELR14</t>
        </is>
      </c>
      <c r="D21" s="20" t="n">
        <v>173.132</v>
      </c>
      <c r="E21" s="20" t="n">
        <v>1209.6</v>
      </c>
      <c r="F21" s="7" t="n">
        <v>0.1431</v>
      </c>
      <c r="G21" s="20" t="n">
        <v>173.132</v>
      </c>
      <c r="H21" s="20" t="n">
        <v>134.5907</v>
      </c>
      <c r="I21" s="20" t="n">
        <v>814.301</v>
      </c>
      <c r="J21" s="7" t="n">
        <v>0.2126</v>
      </c>
      <c r="K21" s="22" t="n">
        <v>2</v>
      </c>
      <c r="L21" s="22" t="n">
        <v>5.0096</v>
      </c>
      <c r="M21" s="22" t="n">
        <v>4.0928</v>
      </c>
      <c r="N21" s="22" t="n">
        <v>9.102</v>
      </c>
      <c r="O21" s="22" t="n">
        <v>23.5619</v>
      </c>
      <c r="P21" s="7" t="n">
        <v>0.3863</v>
      </c>
      <c r="Q21" s="20" t="n">
        <v>1.57</v>
      </c>
      <c r="R21" s="23" t="n">
        <v>0.151</v>
      </c>
      <c r="S21" s="23" t="n">
        <v>0.3941</v>
      </c>
      <c r="T21" s="23" t="n">
        <v>0.1911</v>
      </c>
      <c r="U21" s="5" t="inlineStr">
        <is>
          <t>info</t>
        </is>
      </c>
      <c r="V21" s="5" t="n"/>
    </row>
    <row r="22">
      <c r="A22" s="5" t="inlineStr">
        <is>
          <t>VT5</t>
        </is>
      </c>
      <c r="B22" s="5" t="inlineStr">
        <is>
          <t>cara pilote mar - vano</t>
        </is>
      </c>
      <c r="C22" s="5" t="inlineStr">
        <is>
          <t>ELR08</t>
        </is>
      </c>
      <c r="D22" s="20" t="n">
        <v>510.841</v>
      </c>
      <c r="E22" s="20" t="n">
        <v>1209.6</v>
      </c>
      <c r="F22" s="7" t="n">
        <v>0.4223</v>
      </c>
      <c r="G22" s="20" t="n">
        <v>422.757</v>
      </c>
      <c r="H22" s="20" t="n">
        <v>134.5907</v>
      </c>
      <c r="I22" s="20" t="n">
        <v>814.301</v>
      </c>
      <c r="J22" s="7" t="n">
        <v>0.5192</v>
      </c>
      <c r="K22" s="22" t="n">
        <v>2</v>
      </c>
      <c r="L22" s="22" t="n">
        <v>12.2325</v>
      </c>
      <c r="M22" s="22" t="n">
        <v>4.0928</v>
      </c>
      <c r="N22" s="22" t="n">
        <v>16.325</v>
      </c>
      <c r="O22" s="22" t="n">
        <v>23.5619</v>
      </c>
      <c r="P22" s="7" t="n">
        <v>0.6929</v>
      </c>
      <c r="Q22" s="20" t="n">
        <v>2.84</v>
      </c>
      <c r="R22" s="23" t="n">
        <v>0.4366</v>
      </c>
      <c r="S22" s="23" t="n">
        <v>0.7026</v>
      </c>
      <c r="T22" s="23" t="n">
        <v>0.8635</v>
      </c>
      <c r="U22" s="5" t="inlineStr">
        <is>
          <t>info</t>
        </is>
      </c>
      <c r="V22" s="5" t="n"/>
    </row>
    <row r="23">
      <c r="A23" s="5" t="inlineStr">
        <is>
          <t>VT5</t>
        </is>
      </c>
      <c r="B23" s="5" t="inlineStr">
        <is>
          <t>cara pilote tierra - vano</t>
        </is>
      </c>
      <c r="C23" s="5" t="inlineStr">
        <is>
          <t>ELR20</t>
        </is>
      </c>
      <c r="D23" s="20" t="n">
        <v>327.379</v>
      </c>
      <c r="E23" s="20" t="n">
        <v>1209.6</v>
      </c>
      <c r="F23" s="7" t="n">
        <v>0.2707</v>
      </c>
      <c r="G23" s="20" t="n">
        <v>245.542</v>
      </c>
      <c r="H23" s="20" t="n">
        <v>134.5907</v>
      </c>
      <c r="I23" s="20" t="n">
        <v>814.301</v>
      </c>
      <c r="J23" s="7" t="n">
        <v>0.3015</v>
      </c>
      <c r="K23" s="22" t="n">
        <v>2</v>
      </c>
      <c r="L23" s="22" t="n">
        <v>7.1048</v>
      </c>
      <c r="M23" s="22" t="n">
        <v>4.0928</v>
      </c>
      <c r="N23" s="22" t="n">
        <v>11.198</v>
      </c>
      <c r="O23" s="22" t="n">
        <v>23.5619</v>
      </c>
      <c r="P23" s="7" t="n">
        <v>0.4752</v>
      </c>
      <c r="Q23" s="20" t="n">
        <v>2.279</v>
      </c>
      <c r="R23" s="23" t="n">
        <v>0.2821</v>
      </c>
      <c r="S23" s="23" t="n">
        <v>0.483</v>
      </c>
      <c r="T23" s="23" t="n">
        <v>0.5538</v>
      </c>
      <c r="U23" s="5" t="inlineStr">
        <is>
          <t>info</t>
        </is>
      </c>
      <c r="V23" s="5" t="n"/>
    </row>
    <row r="24">
      <c r="A24" s="5" t="inlineStr">
        <is>
          <t>VT5</t>
        </is>
      </c>
      <c r="B24" s="5" t="inlineStr">
        <is>
          <t>cara pilote tierra - vuelo</t>
        </is>
      </c>
      <c r="C24" s="5" t="inlineStr">
        <is>
          <t>ELR08</t>
        </is>
      </c>
      <c r="D24" s="20" t="n">
        <v>88.557</v>
      </c>
      <c r="E24" s="20" t="n">
        <v>1209.6</v>
      </c>
      <c r="F24" s="7" t="n">
        <v>0.0732</v>
      </c>
      <c r="G24" s="20" t="n">
        <v>88.557</v>
      </c>
      <c r="H24" s="20" t="n">
        <v>134.5907</v>
      </c>
      <c r="I24" s="20" t="n">
        <v>814.301</v>
      </c>
      <c r="J24" s="7" t="n">
        <v>0.1088</v>
      </c>
      <c r="K24" s="22" t="n">
        <v>2</v>
      </c>
      <c r="L24" s="22" t="n">
        <v>2.5624</v>
      </c>
      <c r="M24" s="22" t="n">
        <v>0</v>
      </c>
      <c r="N24" s="22" t="n">
        <v>2.562</v>
      </c>
      <c r="O24" s="22" t="n">
        <v>23.5619</v>
      </c>
      <c r="P24" s="7" t="n">
        <v>0.1088</v>
      </c>
      <c r="Q24" s="20" t="n">
        <v>0.951</v>
      </c>
      <c r="R24" s="23" t="n">
        <v>0.078</v>
      </c>
      <c r="S24" s="23" t="n">
        <v>0.1135</v>
      </c>
      <c r="T24" s="23" t="n">
        <v>0.0125</v>
      </c>
      <c r="U24" s="5" t="inlineStr">
        <is>
          <t>info</t>
        </is>
      </c>
      <c r="V24" s="5" t="n"/>
    </row>
    <row r="25">
      <c r="A25" s="5" t="inlineStr">
        <is>
          <t>VT6</t>
        </is>
      </c>
      <c r="B25" s="5" t="inlineStr">
        <is>
          <t>cara pilote mar - voladizo</t>
        </is>
      </c>
      <c r="C25" s="5" t="inlineStr">
        <is>
          <t>ELR14</t>
        </is>
      </c>
      <c r="D25" s="20" t="n">
        <v>105.807</v>
      </c>
      <c r="E25" s="20" t="n">
        <v>1209.6</v>
      </c>
      <c r="F25" s="7" t="n">
        <v>0.08749999999999999</v>
      </c>
      <c r="G25" s="20" t="n">
        <v>105.807</v>
      </c>
      <c r="H25" s="20" t="n">
        <v>134.5907</v>
      </c>
      <c r="I25" s="20" t="n">
        <v>814.301</v>
      </c>
      <c r="J25" s="7" t="n">
        <v>0.1299</v>
      </c>
      <c r="K25" s="22" t="n">
        <v>2</v>
      </c>
      <c r="L25" s="22" t="n">
        <v>3.0615</v>
      </c>
      <c r="M25" s="22" t="n">
        <v>4.0694</v>
      </c>
      <c r="N25" s="22" t="n">
        <v>7.131</v>
      </c>
      <c r="O25" s="22" t="n">
        <v>23.5619</v>
      </c>
      <c r="P25" s="7" t="n">
        <v>0.3026</v>
      </c>
      <c r="Q25" s="20" t="n">
        <v>3.136</v>
      </c>
      <c r="R25" s="23" t="n">
        <v>0.1025</v>
      </c>
      <c r="S25" s="23" t="n">
        <v>0.3171</v>
      </c>
      <c r="T25" s="23" t="n">
        <v>0.0394</v>
      </c>
      <c r="U25" s="5" t="inlineStr">
        <is>
          <t>info</t>
        </is>
      </c>
      <c r="V25" s="5" t="n"/>
    </row>
    <row r="26">
      <c r="A26" s="5" t="inlineStr">
        <is>
          <t>VT6</t>
        </is>
      </c>
      <c r="B26" s="5" t="inlineStr">
        <is>
          <t>cara pilote mar - vano</t>
        </is>
      </c>
      <c r="C26" s="5" t="inlineStr">
        <is>
          <t>ELR08</t>
        </is>
      </c>
      <c r="D26" s="20" t="n">
        <v>527.218</v>
      </c>
      <c r="E26" s="20" t="n">
        <v>1209.6</v>
      </c>
      <c r="F26" s="7" t="n">
        <v>0.4359</v>
      </c>
      <c r="G26" s="20" t="n">
        <v>431.544</v>
      </c>
      <c r="H26" s="20" t="n">
        <v>134.5907</v>
      </c>
      <c r="I26" s="20" t="n">
        <v>814.301</v>
      </c>
      <c r="J26" s="7" t="n">
        <v>0.53</v>
      </c>
      <c r="K26" s="22" t="n">
        <v>2</v>
      </c>
      <c r="L26" s="22" t="n">
        <v>12.4868</v>
      </c>
      <c r="M26" s="22" t="n">
        <v>4.0694</v>
      </c>
      <c r="N26" s="22" t="n">
        <v>16.556</v>
      </c>
      <c r="O26" s="22" t="n">
        <v>23.5619</v>
      </c>
      <c r="P26" s="7" t="n">
        <v>0.7027</v>
      </c>
      <c r="Q26" s="20" t="n">
        <v>15.932</v>
      </c>
      <c r="R26" s="23" t="n">
        <v>0.5159</v>
      </c>
      <c r="S26" s="23" t="n">
        <v>0.7632</v>
      </c>
      <c r="T26" s="23" t="n">
        <v>0.7756999999999999</v>
      </c>
      <c r="U26" s="5" t="inlineStr">
        <is>
          <t>info</t>
        </is>
      </c>
      <c r="V26" s="5" t="n"/>
    </row>
    <row r="27">
      <c r="A27" s="5" t="inlineStr">
        <is>
          <t>VT6</t>
        </is>
      </c>
      <c r="B27" s="5" t="inlineStr">
        <is>
          <t>cara pilote tierra - vano</t>
        </is>
      </c>
      <c r="C27" s="5" t="inlineStr">
        <is>
          <t>ELR20</t>
        </is>
      </c>
      <c r="D27" s="20" t="n">
        <v>355.26</v>
      </c>
      <c r="E27" s="20" t="n">
        <v>1209.6</v>
      </c>
      <c r="F27" s="7" t="n">
        <v>0.2937</v>
      </c>
      <c r="G27" s="20" t="n">
        <v>265.249</v>
      </c>
      <c r="H27" s="20" t="n">
        <v>134.5907</v>
      </c>
      <c r="I27" s="20" t="n">
        <v>814.301</v>
      </c>
      <c r="J27" s="7" t="n">
        <v>0.3257</v>
      </c>
      <c r="K27" s="22" t="n">
        <v>2</v>
      </c>
      <c r="L27" s="22" t="n">
        <v>7.675</v>
      </c>
      <c r="M27" s="22" t="n">
        <v>4.0694</v>
      </c>
      <c r="N27" s="22" t="n">
        <v>11.744</v>
      </c>
      <c r="O27" s="22" t="n">
        <v>23.5619</v>
      </c>
      <c r="P27" s="7" t="n">
        <v>0.4984</v>
      </c>
      <c r="Q27" s="20" t="n">
        <v>16.507</v>
      </c>
      <c r="R27" s="23" t="n">
        <v>0.3766</v>
      </c>
      <c r="S27" s="23" t="n">
        <v>0.5639</v>
      </c>
      <c r="T27" s="23" t="n">
        <v>0.5814</v>
      </c>
      <c r="U27" s="5" t="inlineStr">
        <is>
          <t>info</t>
        </is>
      </c>
      <c r="V27" s="5" t="n"/>
    </row>
    <row r="28">
      <c r="A28" s="5" t="inlineStr">
        <is>
          <t>VT6</t>
        </is>
      </c>
      <c r="B28" s="5" t="inlineStr">
        <is>
          <t>cara pilote tierra - vuelo</t>
        </is>
      </c>
      <c r="C28" s="5" t="inlineStr">
        <is>
          <t>ELR08</t>
        </is>
      </c>
      <c r="D28" s="20" t="n">
        <v>102.332</v>
      </c>
      <c r="E28" s="20" t="n">
        <v>1209.6</v>
      </c>
      <c r="F28" s="7" t="n">
        <v>0.08459999999999999</v>
      </c>
      <c r="G28" s="20" t="n">
        <v>102.332</v>
      </c>
      <c r="H28" s="20" t="n">
        <v>134.5907</v>
      </c>
      <c r="I28" s="20" t="n">
        <v>814.301</v>
      </c>
      <c r="J28" s="7" t="n">
        <v>0.1257</v>
      </c>
      <c r="K28" s="22" t="n">
        <v>2</v>
      </c>
      <c r="L28" s="22" t="n">
        <v>2.961</v>
      </c>
      <c r="M28" s="22" t="n">
        <v>0</v>
      </c>
      <c r="N28" s="22" t="n">
        <v>2.961</v>
      </c>
      <c r="O28" s="22" t="n">
        <v>23.5619</v>
      </c>
      <c r="P28" s="7" t="n">
        <v>0.1257</v>
      </c>
      <c r="Q28" s="20" t="n">
        <v>2.606</v>
      </c>
      <c r="R28" s="23" t="n">
        <v>0.0977</v>
      </c>
      <c r="S28" s="23" t="n">
        <v>0.1386</v>
      </c>
      <c r="T28" s="23" t="n">
        <v>0.0173</v>
      </c>
      <c r="U28" s="5" t="inlineStr">
        <is>
          <t>info</t>
        </is>
      </c>
      <c r="V28" s="5" t="n"/>
    </row>
    <row r="29">
      <c r="A29" s="5" t="inlineStr">
        <is>
          <t>VT7</t>
        </is>
      </c>
      <c r="B29" s="5" t="inlineStr">
        <is>
          <t>cara pilote mar - voladizo</t>
        </is>
      </c>
      <c r="C29" s="5" t="inlineStr">
        <is>
          <t>ELR14</t>
        </is>
      </c>
      <c r="D29" s="20" t="n">
        <v>146.548</v>
      </c>
      <c r="E29" s="20" t="n">
        <v>1935.36</v>
      </c>
      <c r="F29" s="7" t="n">
        <v>0.0757</v>
      </c>
      <c r="G29" s="20" t="n">
        <v>146.548</v>
      </c>
      <c r="H29" s="20" t="n">
        <v>184.1176</v>
      </c>
      <c r="I29" s="20" t="n">
        <v>814.301</v>
      </c>
      <c r="J29" s="7" t="n">
        <v>0.18</v>
      </c>
      <c r="K29" s="22" t="n">
        <v>2</v>
      </c>
      <c r="L29" s="22" t="n">
        <v>4.2404</v>
      </c>
      <c r="M29" s="22" t="n">
        <v>2.023</v>
      </c>
      <c r="N29" s="22" t="n">
        <v>6.263</v>
      </c>
      <c r="O29" s="22" t="n">
        <v>23.5619</v>
      </c>
      <c r="P29" s="7" t="n">
        <v>0.2658</v>
      </c>
      <c r="Q29" s="20" t="n">
        <v>43.502</v>
      </c>
      <c r="R29" s="7" t="n">
        <v>0.1881</v>
      </c>
      <c r="S29" s="7" t="n">
        <v>0.395</v>
      </c>
      <c r="T29" s="7" t="n">
        <v>0.3273</v>
      </c>
      <c r="U29" s="5" t="inlineStr">
        <is>
          <t>sí</t>
        </is>
      </c>
      <c r="V29" s="5" t="n"/>
    </row>
    <row r="30">
      <c r="A30" s="5" t="inlineStr">
        <is>
          <t>VT7</t>
        </is>
      </c>
      <c r="B30" s="5" t="inlineStr">
        <is>
          <t>cara pilote mar - vano</t>
        </is>
      </c>
      <c r="C30" s="5" t="inlineStr">
        <is>
          <t>ELR08</t>
        </is>
      </c>
      <c r="D30" s="20" t="n">
        <v>340.536</v>
      </c>
      <c r="E30" s="20" t="n">
        <v>1935.36</v>
      </c>
      <c r="F30" s="7" t="n">
        <v>0.176</v>
      </c>
      <c r="G30" s="20" t="n">
        <v>301.672</v>
      </c>
      <c r="H30" s="20" t="n">
        <v>184.1176</v>
      </c>
      <c r="I30" s="20" t="n">
        <v>814.301</v>
      </c>
      <c r="J30" s="7" t="n">
        <v>0.3705</v>
      </c>
      <c r="K30" s="22" t="n">
        <v>2</v>
      </c>
      <c r="L30" s="22" t="n">
        <v>8.728899999999999</v>
      </c>
      <c r="M30" s="22" t="n">
        <v>2.023</v>
      </c>
      <c r="N30" s="22" t="n">
        <v>10.752</v>
      </c>
      <c r="O30" s="22" t="n">
        <v>23.5619</v>
      </c>
      <c r="P30" s="7" t="n">
        <v>0.4563</v>
      </c>
      <c r="Q30" s="20" t="n">
        <v>28.416</v>
      </c>
      <c r="R30" s="7" t="n">
        <v>0.2494</v>
      </c>
      <c r="S30" s="7" t="n">
        <v>0.5248</v>
      </c>
      <c r="T30" s="7" t="n">
        <v>0.9056999999999999</v>
      </c>
      <c r="U30" s="5" t="inlineStr">
        <is>
          <t>sí</t>
        </is>
      </c>
      <c r="V30" s="8" t="n">
        <v>1.1176</v>
      </c>
    </row>
    <row r="31">
      <c r="A31" s="5" t="inlineStr">
        <is>
          <t>VT7</t>
        </is>
      </c>
      <c r="B31" s="5" t="inlineStr">
        <is>
          <t>cara pilote tierra - vano</t>
        </is>
      </c>
      <c r="C31" s="5" t="inlineStr">
        <is>
          <t>ELR20</t>
        </is>
      </c>
      <c r="D31" s="20" t="n">
        <v>161.826</v>
      </c>
      <c r="E31" s="20" t="n">
        <v>1935.36</v>
      </c>
      <c r="F31" s="7" t="n">
        <v>0.08359999999999999</v>
      </c>
      <c r="G31" s="20" t="n">
        <v>144.38</v>
      </c>
      <c r="H31" s="20" t="n">
        <v>184.1176</v>
      </c>
      <c r="I31" s="20" t="n">
        <v>814.301</v>
      </c>
      <c r="J31" s="7" t="n">
        <v>0.1773</v>
      </c>
      <c r="K31" s="22" t="n">
        <v>2</v>
      </c>
      <c r="L31" s="22" t="n">
        <v>4.1777</v>
      </c>
      <c r="M31" s="22" t="n">
        <v>2.023</v>
      </c>
      <c r="N31" s="22" t="n">
        <v>5.75</v>
      </c>
      <c r="O31" s="22" t="n">
        <v>23.5619</v>
      </c>
      <c r="P31" s="7" t="n">
        <v>0.2441</v>
      </c>
      <c r="Q31" s="20" t="n">
        <v>27.192</v>
      </c>
      <c r="R31" s="7" t="n">
        <v>0.1539</v>
      </c>
      <c r="S31" s="7" t="n">
        <v>0.3124</v>
      </c>
      <c r="T31" s="7" t="n">
        <v>0.6607</v>
      </c>
      <c r="U31" s="5" t="inlineStr">
        <is>
          <t>sí</t>
        </is>
      </c>
      <c r="V31" s="7" t="n">
        <v>0.8372000000000001</v>
      </c>
    </row>
    <row r="32">
      <c r="A32" s="5" t="inlineStr">
        <is>
          <t>VT7</t>
        </is>
      </c>
      <c r="B32" s="5" t="inlineStr">
        <is>
          <t>cara pilote tierra - vuelo</t>
        </is>
      </c>
      <c r="C32" s="5" t="inlineStr">
        <is>
          <t>ELR08</t>
        </is>
      </c>
      <c r="D32" s="20" t="n">
        <v>63.399</v>
      </c>
      <c r="E32" s="20" t="n">
        <v>1935.36</v>
      </c>
      <c r="F32" s="7" t="n">
        <v>0.0328</v>
      </c>
      <c r="G32" s="20" t="n">
        <v>63.399</v>
      </c>
      <c r="H32" s="20" t="n">
        <v>184.1176</v>
      </c>
      <c r="I32" s="20" t="n">
        <v>814.301</v>
      </c>
      <c r="J32" s="7" t="n">
        <v>0.0779</v>
      </c>
      <c r="K32" s="22" t="n">
        <v>2</v>
      </c>
      <c r="L32" s="22" t="n">
        <v>1.8344</v>
      </c>
      <c r="M32" s="22" t="n">
        <v>0</v>
      </c>
      <c r="N32" s="22" t="n">
        <v>1.834</v>
      </c>
      <c r="O32" s="22" t="n">
        <v>23.5619</v>
      </c>
      <c r="P32" s="7" t="n">
        <v>0.0779</v>
      </c>
      <c r="Q32" s="20" t="n">
        <v>44.441</v>
      </c>
      <c r="R32" s="7" t="n">
        <v>0.1476</v>
      </c>
      <c r="S32" s="7" t="n">
        <v>0.2098</v>
      </c>
      <c r="T32" s="7" t="n">
        <v>0.1563</v>
      </c>
      <c r="U32" s="5" t="inlineStr">
        <is>
          <t>sí</t>
        </is>
      </c>
      <c r="V32" s="5" t="n"/>
    </row>
    <row r="33">
      <c r="A33" s="5" t="inlineStr">
        <is>
          <t>VBM</t>
        </is>
      </c>
      <c r="B33" s="5" t="inlineStr">
        <is>
          <t>tramo 1 cara izq. (X=0.40)</t>
        </is>
      </c>
      <c r="C33" s="5" t="inlineStr">
        <is>
          <t>ELR20</t>
        </is>
      </c>
      <c r="D33" s="20" t="n">
        <v>56.585</v>
      </c>
      <c r="E33" s="20" t="n">
        <v>294.84</v>
      </c>
      <c r="F33" s="7" t="n">
        <v>0.1919</v>
      </c>
      <c r="G33" s="20" t="n">
        <v>27.323</v>
      </c>
      <c r="H33" s="20" t="n">
        <v>39.0013</v>
      </c>
      <c r="I33" s="20" t="n">
        <v>112.916</v>
      </c>
      <c r="J33" s="7" t="n">
        <v>0.242</v>
      </c>
      <c r="K33" s="22" t="n">
        <v>2</v>
      </c>
      <c r="L33" s="22" t="n">
        <v>1.6218</v>
      </c>
      <c r="M33" s="5" t="n"/>
      <c r="N33" s="22" t="n">
        <v>1.6218</v>
      </c>
      <c r="O33" s="22" t="n">
        <v>6.7021</v>
      </c>
      <c r="P33" s="7" t="n">
        <v>0.242</v>
      </c>
      <c r="Q33" s="20" t="n">
        <v>8.461</v>
      </c>
      <c r="R33" s="23" t="n">
        <v>0.5234</v>
      </c>
      <c r="S33" s="23" t="n">
        <v>0.7103</v>
      </c>
      <c r="T33" s="23" t="n">
        <v>0.7936</v>
      </c>
      <c r="U33" s="5" t="inlineStr">
        <is>
          <t>info</t>
        </is>
      </c>
      <c r="V33" s="5" t="n"/>
    </row>
    <row r="34">
      <c r="A34" s="5" t="inlineStr">
        <is>
          <t>VBM</t>
        </is>
      </c>
      <c r="B34" s="5" t="inlineStr">
        <is>
          <t>tramo 1 cara der. (X=6.25)</t>
        </is>
      </c>
      <c r="C34" s="5" t="inlineStr">
        <is>
          <t>ELR14</t>
        </is>
      </c>
      <c r="D34" s="20" t="n">
        <v>60.24</v>
      </c>
      <c r="E34" s="20" t="n">
        <v>294.84</v>
      </c>
      <c r="F34" s="7" t="n">
        <v>0.2043</v>
      </c>
      <c r="G34" s="20" t="n">
        <v>58.976</v>
      </c>
      <c r="H34" s="20" t="n">
        <v>39.0013</v>
      </c>
      <c r="I34" s="20" t="n">
        <v>112.916</v>
      </c>
      <c r="J34" s="7" t="n">
        <v>0.5223</v>
      </c>
      <c r="K34" s="22" t="n">
        <v>2</v>
      </c>
      <c r="L34" s="22" t="n">
        <v>3.5005</v>
      </c>
      <c r="M34" s="5" t="n"/>
      <c r="N34" s="22" t="n">
        <v>3.5005</v>
      </c>
      <c r="O34" s="22" t="n">
        <v>6.7021</v>
      </c>
      <c r="P34" s="7" t="n">
        <v>0.5223</v>
      </c>
      <c r="Q34" s="20" t="n">
        <v>3.794</v>
      </c>
      <c r="R34" s="23" t="n">
        <v>0.3495</v>
      </c>
      <c r="S34" s="23" t="n">
        <v>0.8376</v>
      </c>
      <c r="T34" s="23" t="n">
        <v>1.0535</v>
      </c>
      <c r="U34" s="5" t="inlineStr">
        <is>
          <t>info</t>
        </is>
      </c>
      <c r="V34" s="5" t="n"/>
    </row>
    <row r="35">
      <c r="A35" s="5" t="inlineStr">
        <is>
          <t>VBM</t>
        </is>
      </c>
      <c r="B35" s="5" t="inlineStr">
        <is>
          <t>tramo 2 cara izq. (X=6.75)</t>
        </is>
      </c>
      <c r="C35" s="5" t="inlineStr">
        <is>
          <t>ELR14</t>
        </is>
      </c>
      <c r="D35" s="20" t="n">
        <v>56.97</v>
      </c>
      <c r="E35" s="20" t="n">
        <v>294.84</v>
      </c>
      <c r="F35" s="7" t="n">
        <v>0.1932</v>
      </c>
      <c r="G35" s="20" t="n">
        <v>55.709</v>
      </c>
      <c r="H35" s="20" t="n">
        <v>39.0013</v>
      </c>
      <c r="I35" s="20" t="n">
        <v>112.916</v>
      </c>
      <c r="J35" s="7" t="n">
        <v>0.4934</v>
      </c>
      <c r="K35" s="22" t="n">
        <v>2</v>
      </c>
      <c r="L35" s="22" t="n">
        <v>3.3066</v>
      </c>
      <c r="M35" s="5" t="n"/>
      <c r="N35" s="22" t="n">
        <v>3.3066</v>
      </c>
      <c r="O35" s="22" t="n">
        <v>6.7021</v>
      </c>
      <c r="P35" s="7" t="n">
        <v>0.4934</v>
      </c>
      <c r="Q35" s="20" t="n">
        <v>3.577</v>
      </c>
      <c r="R35" s="23" t="n">
        <v>0.3313</v>
      </c>
      <c r="S35" s="23" t="n">
        <v>0.7929</v>
      </c>
      <c r="T35" s="23" t="n">
        <v>1.0217</v>
      </c>
      <c r="U35" s="5" t="inlineStr">
        <is>
          <t>info</t>
        </is>
      </c>
      <c r="V35" s="5" t="n"/>
    </row>
    <row r="36">
      <c r="A36" s="5" t="inlineStr">
        <is>
          <t>VBM</t>
        </is>
      </c>
      <c r="B36" s="5" t="inlineStr">
        <is>
          <t>tramo 2 cara der. (X=12.75)</t>
        </is>
      </c>
      <c r="C36" s="5" t="inlineStr">
        <is>
          <t>ELR20</t>
        </is>
      </c>
      <c r="D36" s="20" t="n">
        <v>48.374</v>
      </c>
      <c r="E36" s="20" t="n">
        <v>294.84</v>
      </c>
      <c r="F36" s="7" t="n">
        <v>0.1641</v>
      </c>
      <c r="G36" s="20" t="n">
        <v>47.111</v>
      </c>
      <c r="H36" s="20" t="n">
        <v>39.0013</v>
      </c>
      <c r="I36" s="20" t="n">
        <v>112.916</v>
      </c>
      <c r="J36" s="7" t="n">
        <v>0.4172</v>
      </c>
      <c r="K36" s="22" t="n">
        <v>2</v>
      </c>
      <c r="L36" s="22" t="n">
        <v>2.7962</v>
      </c>
      <c r="M36" s="5" t="n"/>
      <c r="N36" s="22" t="n">
        <v>2.7962</v>
      </c>
      <c r="O36" s="22" t="n">
        <v>6.7021</v>
      </c>
      <c r="P36" s="7" t="n">
        <v>0.4172</v>
      </c>
      <c r="Q36" s="20" t="n">
        <v>3.489</v>
      </c>
      <c r="R36" s="23" t="n">
        <v>0.292</v>
      </c>
      <c r="S36" s="23" t="n">
        <v>0.6917</v>
      </c>
      <c r="T36" s="23" t="n">
        <v>0.8233</v>
      </c>
      <c r="U36" s="5" t="inlineStr">
        <is>
          <t>info</t>
        </is>
      </c>
      <c r="V36" s="5" t="n"/>
    </row>
    <row r="37">
      <c r="A37" s="5" t="inlineStr">
        <is>
          <t>VBM</t>
        </is>
      </c>
      <c r="B37" s="5" t="inlineStr">
        <is>
          <t>tramo 3 cara izq. (X=13.25)</t>
        </is>
      </c>
      <c r="C37" s="5" t="inlineStr">
        <is>
          <t>ELR20</t>
        </is>
      </c>
      <c r="D37" s="20" t="n">
        <v>49.954</v>
      </c>
      <c r="E37" s="20" t="n">
        <v>294.84</v>
      </c>
      <c r="F37" s="7" t="n">
        <v>0.1694</v>
      </c>
      <c r="G37" s="20" t="n">
        <v>48.694</v>
      </c>
      <c r="H37" s="20" t="n">
        <v>39.0013</v>
      </c>
      <c r="I37" s="20" t="n">
        <v>112.916</v>
      </c>
      <c r="J37" s="7" t="n">
        <v>0.4312</v>
      </c>
      <c r="K37" s="22" t="n">
        <v>2</v>
      </c>
      <c r="L37" s="22" t="n">
        <v>2.8902</v>
      </c>
      <c r="M37" s="5" t="n"/>
      <c r="N37" s="22" t="n">
        <v>2.8902</v>
      </c>
      <c r="O37" s="22" t="n">
        <v>6.7021</v>
      </c>
      <c r="P37" s="7" t="n">
        <v>0.4312</v>
      </c>
      <c r="Q37" s="20" t="n">
        <v>3.329</v>
      </c>
      <c r="R37" s="23" t="n">
        <v>0.2902</v>
      </c>
      <c r="S37" s="23" t="n">
        <v>0.6899</v>
      </c>
      <c r="T37" s="23" t="n">
        <v>0.8383</v>
      </c>
      <c r="U37" s="5" t="inlineStr">
        <is>
          <t>info</t>
        </is>
      </c>
      <c r="V37" s="5" t="n"/>
    </row>
    <row r="38">
      <c r="A38" s="5" t="inlineStr">
        <is>
          <t>VBM</t>
        </is>
      </c>
      <c r="B38" s="5" t="inlineStr">
        <is>
          <t>tramo 3 cara der. (X=19.25)</t>
        </is>
      </c>
      <c r="C38" s="5" t="inlineStr">
        <is>
          <t>ELR14</t>
        </is>
      </c>
      <c r="D38" s="20" t="n">
        <v>51.54</v>
      </c>
      <c r="E38" s="20" t="n">
        <v>294.84</v>
      </c>
      <c r="F38" s="7" t="n">
        <v>0.1748</v>
      </c>
      <c r="G38" s="20" t="n">
        <v>50.278</v>
      </c>
      <c r="H38" s="20" t="n">
        <v>39.0013</v>
      </c>
      <c r="I38" s="20" t="n">
        <v>112.916</v>
      </c>
      <c r="J38" s="7" t="n">
        <v>0.4453</v>
      </c>
      <c r="K38" s="22" t="n">
        <v>2</v>
      </c>
      <c r="L38" s="22" t="n">
        <v>2.9842</v>
      </c>
      <c r="M38" s="5" t="n"/>
      <c r="N38" s="22" t="n">
        <v>2.9842</v>
      </c>
      <c r="O38" s="22" t="n">
        <v>6.7021</v>
      </c>
      <c r="P38" s="7" t="n">
        <v>0.4453</v>
      </c>
      <c r="Q38" s="20" t="n">
        <v>3.104</v>
      </c>
      <c r="R38" s="23" t="n">
        <v>0.294</v>
      </c>
      <c r="S38" s="23" t="n">
        <v>0.7037</v>
      </c>
      <c r="T38" s="23" t="n">
        <v>0.8819</v>
      </c>
      <c r="U38" s="5" t="inlineStr">
        <is>
          <t>info</t>
        </is>
      </c>
      <c r="V38" s="5" t="n"/>
    </row>
    <row r="39">
      <c r="A39" s="5" t="inlineStr">
        <is>
          <t>VBM</t>
        </is>
      </c>
      <c r="B39" s="5" t="inlineStr">
        <is>
          <t>tramo 4 cara izq. (X=19.75)</t>
        </is>
      </c>
      <c r="C39" s="5" t="inlineStr">
        <is>
          <t>ELR14</t>
        </is>
      </c>
      <c r="D39" s="20" t="n">
        <v>51.54</v>
      </c>
      <c r="E39" s="20" t="n">
        <v>294.84</v>
      </c>
      <c r="F39" s="7" t="n">
        <v>0.1748</v>
      </c>
      <c r="G39" s="20" t="n">
        <v>50.278</v>
      </c>
      <c r="H39" s="20" t="n">
        <v>39.0013</v>
      </c>
      <c r="I39" s="20" t="n">
        <v>112.916</v>
      </c>
      <c r="J39" s="7" t="n">
        <v>0.4453</v>
      </c>
      <c r="K39" s="22" t="n">
        <v>2</v>
      </c>
      <c r="L39" s="22" t="n">
        <v>2.9842</v>
      </c>
      <c r="M39" s="5" t="n"/>
      <c r="N39" s="22" t="n">
        <v>2.9842</v>
      </c>
      <c r="O39" s="22" t="n">
        <v>6.7021</v>
      </c>
      <c r="P39" s="7" t="n">
        <v>0.4453</v>
      </c>
      <c r="Q39" s="20" t="n">
        <v>3.104</v>
      </c>
      <c r="R39" s="23" t="n">
        <v>0.294</v>
      </c>
      <c r="S39" s="23" t="n">
        <v>0.7037</v>
      </c>
      <c r="T39" s="23" t="n">
        <v>0.8819</v>
      </c>
      <c r="U39" s="5" t="inlineStr">
        <is>
          <t>info</t>
        </is>
      </c>
      <c r="V39" s="5" t="n"/>
    </row>
    <row r="40">
      <c r="A40" s="5" t="inlineStr">
        <is>
          <t>VBM</t>
        </is>
      </c>
      <c r="B40" s="5" t="inlineStr">
        <is>
          <t>tramo 4 cara der. (X=25.75)</t>
        </is>
      </c>
      <c r="C40" s="5" t="inlineStr">
        <is>
          <t>ELR20</t>
        </is>
      </c>
      <c r="D40" s="20" t="n">
        <v>49.954</v>
      </c>
      <c r="E40" s="20" t="n">
        <v>294.84</v>
      </c>
      <c r="F40" s="7" t="n">
        <v>0.1694</v>
      </c>
      <c r="G40" s="20" t="n">
        <v>48.694</v>
      </c>
      <c r="H40" s="20" t="n">
        <v>39.0013</v>
      </c>
      <c r="I40" s="20" t="n">
        <v>112.916</v>
      </c>
      <c r="J40" s="7" t="n">
        <v>0.4312</v>
      </c>
      <c r="K40" s="22" t="n">
        <v>2</v>
      </c>
      <c r="L40" s="22" t="n">
        <v>2.8902</v>
      </c>
      <c r="M40" s="5" t="n"/>
      <c r="N40" s="22" t="n">
        <v>2.8902</v>
      </c>
      <c r="O40" s="22" t="n">
        <v>6.7021</v>
      </c>
      <c r="P40" s="7" t="n">
        <v>0.4312</v>
      </c>
      <c r="Q40" s="20" t="n">
        <v>3.322</v>
      </c>
      <c r="R40" s="23" t="n">
        <v>0.2909</v>
      </c>
      <c r="S40" s="23" t="n">
        <v>0.6918</v>
      </c>
      <c r="T40" s="23" t="n">
        <v>0.8383</v>
      </c>
      <c r="U40" s="5" t="inlineStr">
        <is>
          <t>info</t>
        </is>
      </c>
      <c r="V40" s="5" t="n"/>
    </row>
    <row r="41">
      <c r="A41" s="5" t="inlineStr">
        <is>
          <t>VBM</t>
        </is>
      </c>
      <c r="B41" s="5" t="inlineStr">
        <is>
          <t>tramo 5 cara izq. (X=26.25)</t>
        </is>
      </c>
      <c r="C41" s="5" t="inlineStr">
        <is>
          <t>ELR20</t>
        </is>
      </c>
      <c r="D41" s="20" t="n">
        <v>48.374</v>
      </c>
      <c r="E41" s="20" t="n">
        <v>294.84</v>
      </c>
      <c r="F41" s="7" t="n">
        <v>0.1641</v>
      </c>
      <c r="G41" s="20" t="n">
        <v>47.111</v>
      </c>
      <c r="H41" s="20" t="n">
        <v>39.0013</v>
      </c>
      <c r="I41" s="20" t="n">
        <v>112.916</v>
      </c>
      <c r="J41" s="7" t="n">
        <v>0.4172</v>
      </c>
      <c r="K41" s="22" t="n">
        <v>2</v>
      </c>
      <c r="L41" s="22" t="n">
        <v>2.7962</v>
      </c>
      <c r="M41" s="5" t="n"/>
      <c r="N41" s="22" t="n">
        <v>2.7962</v>
      </c>
      <c r="O41" s="22" t="n">
        <v>6.7021</v>
      </c>
      <c r="P41" s="7" t="n">
        <v>0.4172</v>
      </c>
      <c r="Q41" s="20" t="n">
        <v>3.49</v>
      </c>
      <c r="R41" s="23" t="n">
        <v>0.2913</v>
      </c>
      <c r="S41" s="23" t="n">
        <v>0.6901</v>
      </c>
      <c r="T41" s="23" t="n">
        <v>0.8233</v>
      </c>
      <c r="U41" s="5" t="inlineStr">
        <is>
          <t>info</t>
        </is>
      </c>
      <c r="V41" s="5" t="n"/>
    </row>
    <row r="42">
      <c r="A42" s="5" t="inlineStr">
        <is>
          <t>VBM</t>
        </is>
      </c>
      <c r="B42" s="5" t="inlineStr">
        <is>
          <t>tramo 5 cara der. (X=32.25)</t>
        </is>
      </c>
      <c r="C42" s="5" t="inlineStr">
        <is>
          <t>ELR14</t>
        </is>
      </c>
      <c r="D42" s="20" t="n">
        <v>56.97</v>
      </c>
      <c r="E42" s="20" t="n">
        <v>294.84</v>
      </c>
      <c r="F42" s="7" t="n">
        <v>0.1932</v>
      </c>
      <c r="G42" s="20" t="n">
        <v>55.709</v>
      </c>
      <c r="H42" s="20" t="n">
        <v>39.0013</v>
      </c>
      <c r="I42" s="20" t="n">
        <v>112.916</v>
      </c>
      <c r="J42" s="7" t="n">
        <v>0.4934</v>
      </c>
      <c r="K42" s="22" t="n">
        <v>2</v>
      </c>
      <c r="L42" s="22" t="n">
        <v>3.3066</v>
      </c>
      <c r="M42" s="5" t="n"/>
      <c r="N42" s="22" t="n">
        <v>3.3066</v>
      </c>
      <c r="O42" s="22" t="n">
        <v>6.7021</v>
      </c>
      <c r="P42" s="7" t="n">
        <v>0.4934</v>
      </c>
      <c r="Q42" s="20" t="n">
        <v>3.577</v>
      </c>
      <c r="R42" s="23" t="n">
        <v>0.3313</v>
      </c>
      <c r="S42" s="23" t="n">
        <v>0.7929</v>
      </c>
      <c r="T42" s="23" t="n">
        <v>1.0217</v>
      </c>
      <c r="U42" s="5" t="inlineStr">
        <is>
          <t>info</t>
        </is>
      </c>
      <c r="V42" s="5" t="n"/>
    </row>
    <row r="43">
      <c r="A43" s="5" t="inlineStr">
        <is>
          <t>VBM</t>
        </is>
      </c>
      <c r="B43" s="5" t="inlineStr">
        <is>
          <t>tramo 6 cara izq. (X=32.75)</t>
        </is>
      </c>
      <c r="C43" s="5" t="inlineStr">
        <is>
          <t>ELR14</t>
        </is>
      </c>
      <c r="D43" s="20" t="n">
        <v>60.24</v>
      </c>
      <c r="E43" s="20" t="n">
        <v>294.84</v>
      </c>
      <c r="F43" s="7" t="n">
        <v>0.2043</v>
      </c>
      <c r="G43" s="20" t="n">
        <v>58.976</v>
      </c>
      <c r="H43" s="20" t="n">
        <v>39.0013</v>
      </c>
      <c r="I43" s="20" t="n">
        <v>112.916</v>
      </c>
      <c r="J43" s="7" t="n">
        <v>0.5223</v>
      </c>
      <c r="K43" s="22" t="n">
        <v>2</v>
      </c>
      <c r="L43" s="22" t="n">
        <v>3.5005</v>
      </c>
      <c r="M43" s="5" t="n"/>
      <c r="N43" s="22" t="n">
        <v>3.5005</v>
      </c>
      <c r="O43" s="22" t="n">
        <v>6.7021</v>
      </c>
      <c r="P43" s="7" t="n">
        <v>0.5223</v>
      </c>
      <c r="Q43" s="20" t="n">
        <v>3.737</v>
      </c>
      <c r="R43" s="23" t="n">
        <v>0.3495</v>
      </c>
      <c r="S43" s="23" t="n">
        <v>0.8376</v>
      </c>
      <c r="T43" s="23" t="n">
        <v>1.0535</v>
      </c>
      <c r="U43" s="5" t="inlineStr">
        <is>
          <t>info</t>
        </is>
      </c>
      <c r="V43" s="5" t="n"/>
    </row>
    <row r="44">
      <c r="A44" s="5" t="inlineStr">
        <is>
          <t>VBM</t>
        </is>
      </c>
      <c r="B44" s="5" t="inlineStr">
        <is>
          <t>tramo 6 cara der. (X=38.60)</t>
        </is>
      </c>
      <c r="C44" s="5" t="inlineStr">
        <is>
          <t>ELR20</t>
        </is>
      </c>
      <c r="D44" s="20" t="n">
        <v>56.585</v>
      </c>
      <c r="E44" s="20" t="n">
        <v>294.84</v>
      </c>
      <c r="F44" s="7" t="n">
        <v>0.1919</v>
      </c>
      <c r="G44" s="20" t="n">
        <v>27.323</v>
      </c>
      <c r="H44" s="20" t="n">
        <v>39.0013</v>
      </c>
      <c r="I44" s="20" t="n">
        <v>112.916</v>
      </c>
      <c r="J44" s="7" t="n">
        <v>0.242</v>
      </c>
      <c r="K44" s="22" t="n">
        <v>2</v>
      </c>
      <c r="L44" s="22" t="n">
        <v>1.6218</v>
      </c>
      <c r="M44" s="5" t="n"/>
      <c r="N44" s="22" t="n">
        <v>1.6218</v>
      </c>
      <c r="O44" s="22" t="n">
        <v>6.7021</v>
      </c>
      <c r="P44" s="7" t="n">
        <v>0.242</v>
      </c>
      <c r="Q44" s="20" t="n">
        <v>8.467000000000001</v>
      </c>
      <c r="R44" s="23" t="n">
        <v>0.5248</v>
      </c>
      <c r="S44" s="23" t="n">
        <v>0.7137</v>
      </c>
      <c r="T44" s="23" t="n">
        <v>0.7957</v>
      </c>
      <c r="U44" s="5" t="inlineStr">
        <is>
          <t>info</t>
        </is>
      </c>
      <c r="V44" s="5" t="n"/>
    </row>
    <row r="45">
      <c r="A45" s="5" t="inlineStr">
        <is>
          <t>VBT</t>
        </is>
      </c>
      <c r="B45" s="5" t="inlineStr">
        <is>
          <t>tramo 1 cara izq. (X=0.40)</t>
        </is>
      </c>
      <c r="C45" s="5" t="inlineStr">
        <is>
          <t>ELR08</t>
        </is>
      </c>
      <c r="D45" s="20" t="n">
        <v>57.187</v>
      </c>
      <c r="E45" s="20" t="n">
        <v>294.84</v>
      </c>
      <c r="F45" s="7" t="n">
        <v>0.194</v>
      </c>
      <c r="G45" s="20" t="n">
        <v>25.918</v>
      </c>
      <c r="H45" s="20" t="n">
        <v>39.0013</v>
      </c>
      <c r="I45" s="20" t="n">
        <v>112.916</v>
      </c>
      <c r="J45" s="7" t="n">
        <v>0.2295</v>
      </c>
      <c r="K45" s="22" t="n">
        <v>2</v>
      </c>
      <c r="L45" s="22" t="n">
        <v>1.5384</v>
      </c>
      <c r="M45" s="5" t="n"/>
      <c r="N45" s="22" t="n">
        <v>1.5384</v>
      </c>
      <c r="O45" s="22" t="n">
        <v>6.7021</v>
      </c>
      <c r="P45" s="7" t="n">
        <v>0.2295</v>
      </c>
      <c r="Q45" s="20" t="n">
        <v>8.146000000000001</v>
      </c>
      <c r="R45" s="23" t="n">
        <v>0.515</v>
      </c>
      <c r="S45" s="23" t="n">
        <v>0.6794</v>
      </c>
      <c r="T45" s="23" t="n">
        <v>0.8083</v>
      </c>
      <c r="U45" s="5" t="inlineStr">
        <is>
          <t>info</t>
        </is>
      </c>
      <c r="V45" s="5" t="n"/>
    </row>
    <row r="46">
      <c r="A46" s="5" t="inlineStr">
        <is>
          <t>VBT</t>
        </is>
      </c>
      <c r="B46" s="5" t="inlineStr">
        <is>
          <t>tramo 1 cara der. (X=6.25)</t>
        </is>
      </c>
      <c r="C46" s="5" t="inlineStr">
        <is>
          <t>ELR08</t>
        </is>
      </c>
      <c r="D46" s="20" t="n">
        <v>62.955</v>
      </c>
      <c r="E46" s="20" t="n">
        <v>294.84</v>
      </c>
      <c r="F46" s="7" t="n">
        <v>0.2135</v>
      </c>
      <c r="G46" s="20" t="n">
        <v>61.694</v>
      </c>
      <c r="H46" s="20" t="n">
        <v>39.0013</v>
      </c>
      <c r="I46" s="20" t="n">
        <v>112.916</v>
      </c>
      <c r="J46" s="7" t="n">
        <v>0.5464</v>
      </c>
      <c r="K46" s="22" t="n">
        <v>2</v>
      </c>
      <c r="L46" s="22" t="n">
        <v>3.6618</v>
      </c>
      <c r="M46" s="5" t="n"/>
      <c r="N46" s="22" t="n">
        <v>3.6618</v>
      </c>
      <c r="O46" s="22" t="n">
        <v>6.7021</v>
      </c>
      <c r="P46" s="7" t="n">
        <v>0.5464</v>
      </c>
      <c r="Q46" s="20" t="n">
        <v>3.577</v>
      </c>
      <c r="R46" s="23" t="n">
        <v>0.3492</v>
      </c>
      <c r="S46" s="23" t="n">
        <v>0.8396</v>
      </c>
      <c r="T46" s="23" t="n">
        <v>1.0559</v>
      </c>
      <c r="U46" s="5" t="inlineStr">
        <is>
          <t>info</t>
        </is>
      </c>
      <c r="V46" s="5" t="n"/>
    </row>
    <row r="47">
      <c r="A47" s="5" t="inlineStr">
        <is>
          <t>VBT</t>
        </is>
      </c>
      <c r="B47" s="5" t="inlineStr">
        <is>
          <t>tramo 2 cara izq. (X=6.75)</t>
        </is>
      </c>
      <c r="C47" s="5" t="inlineStr">
        <is>
          <t>ELR08</t>
        </is>
      </c>
      <c r="D47" s="20" t="n">
        <v>59.754</v>
      </c>
      <c r="E47" s="20" t="n">
        <v>294.84</v>
      </c>
      <c r="F47" s="7" t="n">
        <v>0.2027</v>
      </c>
      <c r="G47" s="20" t="n">
        <v>58.49</v>
      </c>
      <c r="H47" s="20" t="n">
        <v>39.0013</v>
      </c>
      <c r="I47" s="20" t="n">
        <v>112.916</v>
      </c>
      <c r="J47" s="7" t="n">
        <v>0.518</v>
      </c>
      <c r="K47" s="22" t="n">
        <v>2</v>
      </c>
      <c r="L47" s="22" t="n">
        <v>3.4716</v>
      </c>
      <c r="M47" s="5" t="n"/>
      <c r="N47" s="22" t="n">
        <v>3.4716</v>
      </c>
      <c r="O47" s="22" t="n">
        <v>6.7021</v>
      </c>
      <c r="P47" s="7" t="n">
        <v>0.518</v>
      </c>
      <c r="Q47" s="20" t="n">
        <v>3.376</v>
      </c>
      <c r="R47" s="23" t="n">
        <v>0.3297</v>
      </c>
      <c r="S47" s="23" t="n">
        <v>0.7921</v>
      </c>
      <c r="T47" s="23" t="n">
        <v>1.0302</v>
      </c>
      <c r="U47" s="5" t="inlineStr">
        <is>
          <t>info</t>
        </is>
      </c>
      <c r="V47" s="5" t="n"/>
    </row>
    <row r="48">
      <c r="A48" s="5" t="inlineStr">
        <is>
          <t>VBT</t>
        </is>
      </c>
      <c r="B48" s="5" t="inlineStr">
        <is>
          <t>tramo 2 cara der. (X=12.75)</t>
        </is>
      </c>
      <c r="C48" s="5" t="inlineStr">
        <is>
          <t>ELR08</t>
        </is>
      </c>
      <c r="D48" s="20" t="n">
        <v>49.953</v>
      </c>
      <c r="E48" s="20" t="n">
        <v>294.84</v>
      </c>
      <c r="F48" s="7" t="n">
        <v>0.1694</v>
      </c>
      <c r="G48" s="20" t="n">
        <v>48.691</v>
      </c>
      <c r="H48" s="20" t="n">
        <v>39.0013</v>
      </c>
      <c r="I48" s="20" t="n">
        <v>112.916</v>
      </c>
      <c r="J48" s="7" t="n">
        <v>0.4312</v>
      </c>
      <c r="K48" s="22" t="n">
        <v>2</v>
      </c>
      <c r="L48" s="22" t="n">
        <v>2.89</v>
      </c>
      <c r="M48" s="5" t="n"/>
      <c r="N48" s="22" t="n">
        <v>2.89</v>
      </c>
      <c r="O48" s="22" t="n">
        <v>6.7021</v>
      </c>
      <c r="P48" s="7" t="n">
        <v>0.4312</v>
      </c>
      <c r="Q48" s="20" t="n">
        <v>2.998</v>
      </c>
      <c r="R48" s="23" t="n">
        <v>0.2834</v>
      </c>
      <c r="S48" s="23" t="n">
        <v>0.6777</v>
      </c>
      <c r="T48" s="23" t="n">
        <v>0.8295</v>
      </c>
      <c r="U48" s="5" t="inlineStr">
        <is>
          <t>info</t>
        </is>
      </c>
      <c r="V48" s="5" t="n"/>
    </row>
    <row r="49">
      <c r="A49" s="5" t="inlineStr">
        <is>
          <t>VBT</t>
        </is>
      </c>
      <c r="B49" s="5" t="inlineStr">
        <is>
          <t>tramo 3 cara izq. (X=13.25)</t>
        </is>
      </c>
      <c r="C49" s="5" t="inlineStr">
        <is>
          <t>ELR08</t>
        </is>
      </c>
      <c r="D49" s="20" t="n">
        <v>51.692</v>
      </c>
      <c r="E49" s="20" t="n">
        <v>294.84</v>
      </c>
      <c r="F49" s="7" t="n">
        <v>0.1753</v>
      </c>
      <c r="G49" s="20" t="n">
        <v>50.429</v>
      </c>
      <c r="H49" s="20" t="n">
        <v>39.0013</v>
      </c>
      <c r="I49" s="20" t="n">
        <v>112.916</v>
      </c>
      <c r="J49" s="7" t="n">
        <v>0.4466</v>
      </c>
      <c r="K49" s="22" t="n">
        <v>2</v>
      </c>
      <c r="L49" s="22" t="n">
        <v>2.9932</v>
      </c>
      <c r="M49" s="5" t="n"/>
      <c r="N49" s="22" t="n">
        <v>2.9932</v>
      </c>
      <c r="O49" s="22" t="n">
        <v>6.7021</v>
      </c>
      <c r="P49" s="7" t="n">
        <v>0.4466</v>
      </c>
      <c r="Q49" s="20" t="n">
        <v>2.84</v>
      </c>
      <c r="R49" s="23" t="n">
        <v>0.2822</v>
      </c>
      <c r="S49" s="23" t="n">
        <v>0.679</v>
      </c>
      <c r="T49" s="23" t="n">
        <v>0.8486</v>
      </c>
      <c r="U49" s="5" t="inlineStr">
        <is>
          <t>info</t>
        </is>
      </c>
      <c r="V49" s="5" t="n"/>
    </row>
    <row r="50">
      <c r="A50" s="5" t="inlineStr">
        <is>
          <t>VBT</t>
        </is>
      </c>
      <c r="B50" s="5" t="inlineStr">
        <is>
          <t>tramo 3 cara der. (X=19.25)</t>
        </is>
      </c>
      <c r="C50" s="5" t="inlineStr">
        <is>
          <t>ELR08</t>
        </is>
      </c>
      <c r="D50" s="20" t="n">
        <v>53.971</v>
      </c>
      <c r="E50" s="20" t="n">
        <v>294.84</v>
      </c>
      <c r="F50" s="7" t="n">
        <v>0.1831</v>
      </c>
      <c r="G50" s="20" t="n">
        <v>52.71</v>
      </c>
      <c r="H50" s="20" t="n">
        <v>39.0013</v>
      </c>
      <c r="I50" s="20" t="n">
        <v>112.916</v>
      </c>
      <c r="J50" s="7" t="n">
        <v>0.4668</v>
      </c>
      <c r="K50" s="22" t="n">
        <v>2</v>
      </c>
      <c r="L50" s="22" t="n">
        <v>3.1285</v>
      </c>
      <c r="M50" s="5" t="n"/>
      <c r="N50" s="22" t="n">
        <v>3.1285</v>
      </c>
      <c r="O50" s="22" t="n">
        <v>6.7021</v>
      </c>
      <c r="P50" s="7" t="n">
        <v>0.4668</v>
      </c>
      <c r="Q50" s="20" t="n">
        <v>2.954</v>
      </c>
      <c r="R50" s="23" t="n">
        <v>0.2944</v>
      </c>
      <c r="S50" s="23" t="n">
        <v>0.7073</v>
      </c>
      <c r="T50" s="23" t="n">
        <v>0.8895</v>
      </c>
      <c r="U50" s="5" t="inlineStr">
        <is>
          <t>info</t>
        </is>
      </c>
      <c r="V50" s="5" t="n"/>
    </row>
    <row r="51">
      <c r="A51" s="5" t="inlineStr">
        <is>
          <t>VBT</t>
        </is>
      </c>
      <c r="B51" s="5" t="inlineStr">
        <is>
          <t>tramo 4 cara izq. (X=19.75)</t>
        </is>
      </c>
      <c r="C51" s="5" t="inlineStr">
        <is>
          <t>ELR08</t>
        </is>
      </c>
      <c r="D51" s="20" t="n">
        <v>54.214</v>
      </c>
      <c r="E51" s="20" t="n">
        <v>294.84</v>
      </c>
      <c r="F51" s="7" t="n">
        <v>0.1839</v>
      </c>
      <c r="G51" s="20" t="n">
        <v>52.953</v>
      </c>
      <c r="H51" s="20" t="n">
        <v>39.0013</v>
      </c>
      <c r="I51" s="20" t="n">
        <v>112.916</v>
      </c>
      <c r="J51" s="7" t="n">
        <v>0.469</v>
      </c>
      <c r="K51" s="22" t="n">
        <v>2</v>
      </c>
      <c r="L51" s="22" t="n">
        <v>3.143</v>
      </c>
      <c r="M51" s="5" t="n"/>
      <c r="N51" s="22" t="n">
        <v>3.143</v>
      </c>
      <c r="O51" s="22" t="n">
        <v>6.7021</v>
      </c>
      <c r="P51" s="7" t="n">
        <v>0.469</v>
      </c>
      <c r="Q51" s="20" t="n">
        <v>2.954</v>
      </c>
      <c r="R51" s="23" t="n">
        <v>0.2944</v>
      </c>
      <c r="S51" s="23" t="n">
        <v>0.7073</v>
      </c>
      <c r="T51" s="23" t="n">
        <v>0.8947000000000001</v>
      </c>
      <c r="U51" s="5" t="inlineStr">
        <is>
          <t>info</t>
        </is>
      </c>
      <c r="V51" s="5" t="n"/>
    </row>
    <row r="52">
      <c r="A52" s="5" t="inlineStr">
        <is>
          <t>VBT</t>
        </is>
      </c>
      <c r="B52" s="5" t="inlineStr">
        <is>
          <t>tramo 4 cara der. (X=25.75)</t>
        </is>
      </c>
      <c r="C52" s="5" t="inlineStr">
        <is>
          <t>ELR08</t>
        </is>
      </c>
      <c r="D52" s="20" t="n">
        <v>51.39</v>
      </c>
      <c r="E52" s="20" t="n">
        <v>294.84</v>
      </c>
      <c r="F52" s="7" t="n">
        <v>0.1743</v>
      </c>
      <c r="G52" s="20" t="n">
        <v>50.128</v>
      </c>
      <c r="H52" s="20" t="n">
        <v>39.0013</v>
      </c>
      <c r="I52" s="20" t="n">
        <v>112.916</v>
      </c>
      <c r="J52" s="7" t="n">
        <v>0.4439</v>
      </c>
      <c r="K52" s="22" t="n">
        <v>2</v>
      </c>
      <c r="L52" s="22" t="n">
        <v>2.9753</v>
      </c>
      <c r="M52" s="5" t="n"/>
      <c r="N52" s="22" t="n">
        <v>2.9753</v>
      </c>
      <c r="O52" s="22" t="n">
        <v>6.7021</v>
      </c>
      <c r="P52" s="7" t="n">
        <v>0.4439</v>
      </c>
      <c r="Q52" s="20" t="n">
        <v>2.84</v>
      </c>
      <c r="R52" s="23" t="n">
        <v>0.2822</v>
      </c>
      <c r="S52" s="23" t="n">
        <v>0.6773</v>
      </c>
      <c r="T52" s="23" t="n">
        <v>0.8429</v>
      </c>
      <c r="U52" s="5" t="inlineStr">
        <is>
          <t>info</t>
        </is>
      </c>
      <c r="V52" s="5" t="n"/>
    </row>
    <row r="53">
      <c r="A53" s="5" t="inlineStr">
        <is>
          <t>VBT</t>
        </is>
      </c>
      <c r="B53" s="5" t="inlineStr">
        <is>
          <t>tramo 5 cara izq. (X=26.25)</t>
        </is>
      </c>
      <c r="C53" s="5" t="inlineStr">
        <is>
          <t>ELR08</t>
        </is>
      </c>
      <c r="D53" s="20" t="n">
        <v>50.139</v>
      </c>
      <c r="E53" s="20" t="n">
        <v>294.84</v>
      </c>
      <c r="F53" s="7" t="n">
        <v>0.1701</v>
      </c>
      <c r="G53" s="20" t="n">
        <v>48.877</v>
      </c>
      <c r="H53" s="20" t="n">
        <v>39.0013</v>
      </c>
      <c r="I53" s="20" t="n">
        <v>112.916</v>
      </c>
      <c r="J53" s="7" t="n">
        <v>0.4329</v>
      </c>
      <c r="K53" s="22" t="n">
        <v>2</v>
      </c>
      <c r="L53" s="22" t="n">
        <v>2.901</v>
      </c>
      <c r="M53" s="5" t="n"/>
      <c r="N53" s="22" t="n">
        <v>2.901</v>
      </c>
      <c r="O53" s="22" t="n">
        <v>6.7021</v>
      </c>
      <c r="P53" s="7" t="n">
        <v>0.4329</v>
      </c>
      <c r="Q53" s="20" t="n">
        <v>2.998</v>
      </c>
      <c r="R53" s="23" t="n">
        <v>0.2834</v>
      </c>
      <c r="S53" s="23" t="n">
        <v>0.6796</v>
      </c>
      <c r="T53" s="23" t="n">
        <v>0.8343</v>
      </c>
      <c r="U53" s="5" t="inlineStr">
        <is>
          <t>info</t>
        </is>
      </c>
      <c r="V53" s="5" t="n"/>
    </row>
    <row r="54">
      <c r="A54" s="5" t="inlineStr">
        <is>
          <t>VBT</t>
        </is>
      </c>
      <c r="B54" s="5" t="inlineStr">
        <is>
          <t>tramo 5 cara der. (X=32.25)</t>
        </is>
      </c>
      <c r="C54" s="5" t="inlineStr">
        <is>
          <t>ELR08</t>
        </is>
      </c>
      <c r="D54" s="20" t="n">
        <v>59.386</v>
      </c>
      <c r="E54" s="20" t="n">
        <v>294.84</v>
      </c>
      <c r="F54" s="7" t="n">
        <v>0.2014</v>
      </c>
      <c r="G54" s="20" t="n">
        <v>58.122</v>
      </c>
      <c r="H54" s="20" t="n">
        <v>39.0013</v>
      </c>
      <c r="I54" s="20" t="n">
        <v>112.916</v>
      </c>
      <c r="J54" s="7" t="n">
        <v>0.5147</v>
      </c>
      <c r="K54" s="22" t="n">
        <v>2</v>
      </c>
      <c r="L54" s="22" t="n">
        <v>3.4498</v>
      </c>
      <c r="M54" s="5" t="n"/>
      <c r="N54" s="22" t="n">
        <v>3.4498</v>
      </c>
      <c r="O54" s="22" t="n">
        <v>6.7021</v>
      </c>
      <c r="P54" s="7" t="n">
        <v>0.5147</v>
      </c>
      <c r="Q54" s="20" t="n">
        <v>3.376</v>
      </c>
      <c r="R54" s="23" t="n">
        <v>0.3297</v>
      </c>
      <c r="S54" s="23" t="n">
        <v>0.7921</v>
      </c>
      <c r="T54" s="23" t="n">
        <v>1.0238</v>
      </c>
      <c r="U54" s="5" t="inlineStr">
        <is>
          <t>info</t>
        </is>
      </c>
      <c r="V54" s="5" t="n"/>
    </row>
    <row r="55">
      <c r="A55" s="5" t="inlineStr">
        <is>
          <t>VBT</t>
        </is>
      </c>
      <c r="B55" s="5" t="inlineStr">
        <is>
          <t>tramo 6 cara izq. (X=32.75)</t>
        </is>
      </c>
      <c r="C55" s="5" t="inlineStr">
        <is>
          <t>ELR08</t>
        </is>
      </c>
      <c r="D55" s="20" t="n">
        <v>63.072</v>
      </c>
      <c r="E55" s="20" t="n">
        <v>294.84</v>
      </c>
      <c r="F55" s="7" t="n">
        <v>0.2139</v>
      </c>
      <c r="G55" s="20" t="n">
        <v>61.811</v>
      </c>
      <c r="H55" s="20" t="n">
        <v>39.0013</v>
      </c>
      <c r="I55" s="20" t="n">
        <v>112.916</v>
      </c>
      <c r="J55" s="7" t="n">
        <v>0.5474</v>
      </c>
      <c r="K55" s="22" t="n">
        <v>2</v>
      </c>
      <c r="L55" s="22" t="n">
        <v>3.6687</v>
      </c>
      <c r="M55" s="5" t="n"/>
      <c r="N55" s="22" t="n">
        <v>3.6687</v>
      </c>
      <c r="O55" s="22" t="n">
        <v>6.7021</v>
      </c>
      <c r="P55" s="7" t="n">
        <v>0.5474</v>
      </c>
      <c r="Q55" s="20" t="n">
        <v>3.577</v>
      </c>
      <c r="R55" s="23" t="n">
        <v>0.3492</v>
      </c>
      <c r="S55" s="23" t="n">
        <v>0.8396</v>
      </c>
      <c r="T55" s="23" t="n">
        <v>1.0602</v>
      </c>
      <c r="U55" s="5" t="inlineStr">
        <is>
          <t>info</t>
        </is>
      </c>
      <c r="V55" s="5" t="n"/>
    </row>
    <row r="56">
      <c r="A56" s="5" t="inlineStr">
        <is>
          <t>VBT</t>
        </is>
      </c>
      <c r="B56" s="5" t="inlineStr">
        <is>
          <t>tramo 6 cara der. (X=38.60)</t>
        </is>
      </c>
      <c r="C56" s="5" t="inlineStr">
        <is>
          <t>ELR08</t>
        </is>
      </c>
      <c r="D56" s="20" t="n">
        <v>56.87</v>
      </c>
      <c r="E56" s="20" t="n">
        <v>294.84</v>
      </c>
      <c r="F56" s="7" t="n">
        <v>0.1929</v>
      </c>
      <c r="G56" s="20" t="n">
        <v>25.684</v>
      </c>
      <c r="H56" s="20" t="n">
        <v>39.0013</v>
      </c>
      <c r="I56" s="20" t="n">
        <v>112.916</v>
      </c>
      <c r="J56" s="7" t="n">
        <v>0.2275</v>
      </c>
      <c r="K56" s="22" t="n">
        <v>2</v>
      </c>
      <c r="L56" s="22" t="n">
        <v>1.5245</v>
      </c>
      <c r="M56" s="5" t="n"/>
      <c r="N56" s="22" t="n">
        <v>1.5245</v>
      </c>
      <c r="O56" s="22" t="n">
        <v>6.7021</v>
      </c>
      <c r="P56" s="7" t="n">
        <v>0.2275</v>
      </c>
      <c r="Q56" s="20" t="n">
        <v>8.146000000000001</v>
      </c>
      <c r="R56" s="23" t="n">
        <v>0.515</v>
      </c>
      <c r="S56" s="23" t="n">
        <v>0.6794</v>
      </c>
      <c r="T56" s="23" t="n">
        <v>0.8057</v>
      </c>
      <c r="U56" s="5" t="inlineStr">
        <is>
          <t>info</t>
        </is>
      </c>
      <c r="V56" s="5" t="n"/>
    </row>
    <row r="58">
      <c r="A58" s="13" t="inlineStr">
        <is>
          <t>Resumen por viga (tabla del gráfico): η cortante por caso; torsión (vigas extremas)</t>
        </is>
      </c>
    </row>
    <row r="59" ht="32" customHeight="1">
      <c r="A59" s="4" t="inlineStr">
        <is>
          <t>Viga</t>
        </is>
      </c>
      <c r="B59" s="4" t="inlineStr">
        <is>
          <t>η cortante CYPE/cype (θ 45°)</t>
        </is>
      </c>
      <c r="C59" s="4" t="inlineStr">
        <is>
          <t>η cortante CYPE/codigo</t>
        </is>
      </c>
      <c r="D59" s="4" t="inlineStr">
        <is>
          <t>η cortante ROM/codigo</t>
        </is>
      </c>
      <c r="E59" s="4" t="inlineStr">
        <is>
          <t>η torsión ROM/codigo (en veredicto)</t>
        </is>
      </c>
      <c r="F59" s="4" t="inlineStr">
        <is>
          <t>η cordón sensib. ala (F4)</t>
        </is>
      </c>
      <c r="G59" s="4" t="inlineStr">
        <is>
          <t>Límite</t>
        </is>
      </c>
    </row>
    <row r="60">
      <c r="A60" s="5" t="inlineStr">
        <is>
          <t>VT1</t>
        </is>
      </c>
      <c r="B60" s="7" t="n">
        <v>0.7211</v>
      </c>
      <c r="C60" s="7" t="n">
        <v>0.4273</v>
      </c>
      <c r="D60" s="7" t="n">
        <v>0.478</v>
      </c>
      <c r="E60" s="11" t="n">
        <v>0.9727</v>
      </c>
      <c r="F60" s="8" t="n">
        <v>1.1845</v>
      </c>
      <c r="G60" s="21" t="n">
        <v>1</v>
      </c>
    </row>
    <row r="61">
      <c r="A61" s="5" t="inlineStr">
        <is>
          <t>VT2</t>
        </is>
      </c>
      <c r="B61" s="7" t="n">
        <v>0.9436</v>
      </c>
      <c r="C61" s="7" t="n">
        <v>0.634</v>
      </c>
      <c r="D61" s="7" t="n">
        <v>0.717</v>
      </c>
      <c r="E61" s="5" t="n"/>
      <c r="F61" s="5" t="n"/>
      <c r="G61" s="21" t="n">
        <v>1</v>
      </c>
    </row>
    <row r="62">
      <c r="A62" s="5" t="inlineStr">
        <is>
          <t>VT3</t>
        </is>
      </c>
      <c r="B62" s="7" t="n">
        <v>0.9227</v>
      </c>
      <c r="C62" s="7" t="n">
        <v>0.6106</v>
      </c>
      <c r="D62" s="7" t="n">
        <v>0.7</v>
      </c>
      <c r="E62" s="5" t="n"/>
      <c r="F62" s="5" t="n"/>
      <c r="G62" s="21" t="n">
        <v>1</v>
      </c>
    </row>
    <row r="63">
      <c r="A63" s="5" t="inlineStr">
        <is>
          <t>VT4</t>
        </is>
      </c>
      <c r="B63" s="7" t="n">
        <v>0.8874</v>
      </c>
      <c r="C63" s="7" t="n">
        <v>0.6039</v>
      </c>
      <c r="D63" s="7" t="n">
        <v>0.6840000000000001</v>
      </c>
      <c r="E63" s="5" t="n"/>
      <c r="F63" s="5" t="n"/>
      <c r="G63" s="21" t="n">
        <v>1</v>
      </c>
    </row>
    <row r="64">
      <c r="A64" s="5" t="inlineStr">
        <is>
          <t>VT5</t>
        </is>
      </c>
      <c r="B64" s="7" t="n">
        <v>0.9084</v>
      </c>
      <c r="C64" s="7" t="n">
        <v>0.6063</v>
      </c>
      <c r="D64" s="7" t="n">
        <v>0.6929</v>
      </c>
      <c r="E64" s="5" t="n"/>
      <c r="F64" s="5" t="n"/>
      <c r="G64" s="21" t="n">
        <v>1</v>
      </c>
    </row>
    <row r="65">
      <c r="A65" s="5" t="inlineStr">
        <is>
          <t>VT6</t>
        </is>
      </c>
      <c r="B65" s="7" t="n">
        <v>0.9149</v>
      </c>
      <c r="C65" s="7" t="n">
        <v>0.6254</v>
      </c>
      <c r="D65" s="7" t="n">
        <v>0.7027</v>
      </c>
      <c r="E65" s="5" t="n"/>
      <c r="F65" s="5" t="n"/>
      <c r="G65" s="21" t="n">
        <v>1</v>
      </c>
    </row>
    <row r="66">
      <c r="A66" s="5" t="inlineStr">
        <is>
          <t>VT7</t>
        </is>
      </c>
      <c r="B66" s="7" t="n">
        <v>0.6777</v>
      </c>
      <c r="C66" s="7" t="n">
        <v>0.4056</v>
      </c>
      <c r="D66" s="7" t="n">
        <v>0.4563</v>
      </c>
      <c r="E66" s="7" t="n">
        <v>0.9056999999999999</v>
      </c>
      <c r="F66" s="8" t="n">
        <v>1.1176</v>
      </c>
      <c r="G66" s="21" t="n">
        <v>1</v>
      </c>
    </row>
    <row r="67">
      <c r="A67" s="5" t="inlineStr">
        <is>
          <t>VBM</t>
        </is>
      </c>
      <c r="B67" s="8" t="n">
        <v>1.0413</v>
      </c>
      <c r="C67" s="7" t="n">
        <v>0.5207000000000001</v>
      </c>
      <c r="D67" s="7" t="n">
        <v>0.5223</v>
      </c>
      <c r="E67" s="5" t="n"/>
      <c r="F67" s="5" t="n"/>
      <c r="G67" s="21" t="n">
        <v>1</v>
      </c>
    </row>
    <row r="68">
      <c r="A68" s="5" t="inlineStr">
        <is>
          <t>VBT</t>
        </is>
      </c>
      <c r="B68" s="8" t="n">
        <v>1.0808</v>
      </c>
      <c r="C68" s="7" t="n">
        <v>0.5404</v>
      </c>
      <c r="D68" s="7" t="n">
        <v>0.5474</v>
      </c>
      <c r="E68" s="5" t="n"/>
      <c r="F68" s="5" t="n"/>
      <c r="G68" s="21" t="n">
        <v>1</v>
      </c>
    </row>
    <row r="69">
      <c r="A69" t="inlineStr">
        <is>
          <t>Torsión: en veredicto sólo para las vigas extremas (ejes 1 y 7, torsión de equilibrio); en las interiores y de borde es de compatibilidad (A19.6.3.1(2)), información.</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cols>
    <col width="10" customWidth="1" min="1" max="1"/>
    <col width="21.8" customWidth="1" min="2" max="2"/>
    <col width="28" customWidth="1" min="3" max="3"/>
    <col width="18.2" customWidth="1" min="4" max="4"/>
    <col width="17.3" customWidth="1" min="5" max="5"/>
    <col width="15.5" customWidth="1" min="6" max="6"/>
    <col width="15.5" customWidth="1" min="7" max="7"/>
    <col width="14.6" customWidth="1" min="8" max="8"/>
    <col width="20.9" customWidth="1" min="9" max="9"/>
    <col width="23.6" customWidth="1" min="10" max="10"/>
    <col width="10.1" customWidth="1" min="11" max="11"/>
    <col width="22.7" customWidth="1" min="12" max="12"/>
    <col width="25.4" customWidth="1" min="13" max="13"/>
    <col width="18.2" customWidth="1" min="14" max="14"/>
  </cols>
  <sheetData>
    <row r="1">
      <c r="A1" s="1" t="inlineStr">
        <is>
          <t>Vigas: fisuración cuasipermanente (XS3, wmax = 0.1 mm, CE Art. 27 Tabla 27.2) — ψ2,Qa 0.3 (CYPE) y 0.8 (ROM)</t>
        </is>
      </c>
    </row>
    <row r="2">
      <c r="A2" s="2" t="inlineStr">
        <is>
          <t>QP = G + ψ2,Qa·Qa (bolardo ψ2 = 0). ψ2 umbral = valor de ψ2,Qa a partir del cual fisura (σct &gt; fctm) / falla wk &gt; 0.1 mm con el armado dispuesto.</t>
        </is>
      </c>
    </row>
    <row r="4" ht="32" customHeight="1">
      <c r="A4" s="4" t="inlineStr">
        <is>
          <t>Viga</t>
        </is>
      </c>
      <c r="B4" s="4" t="inlineStr">
        <is>
          <t>Cara traccionada</t>
        </is>
      </c>
      <c r="C4" s="4" t="inlineStr">
        <is>
          <t>M_qp ψ2 0.3 (kN·m)</t>
        </is>
      </c>
      <c r="D4" s="4" t="inlineStr">
        <is>
          <t>M_qp ψ2 0.8 (kN·m)</t>
        </is>
      </c>
      <c r="E4" s="4" t="inlineStr">
        <is>
          <t>Mcr (kN·m)</t>
        </is>
      </c>
      <c r="F4" s="4" t="inlineStr">
        <is>
          <t>σct/fctm ψ2 0.3</t>
        </is>
      </c>
      <c r="G4" s="4" t="inlineStr">
        <is>
          <t>σct/fctm ψ2 0.8</t>
        </is>
      </c>
      <c r="H4" s="4" t="inlineStr">
        <is>
          <t>wk ψ2 0.3 (mm)</t>
        </is>
      </c>
      <c r="I4" s="4" t="inlineStr">
        <is>
          <t>wk ψ2 0.8 (mm) actual</t>
        </is>
      </c>
      <c r="J4" s="4" t="inlineStr">
        <is>
          <t>wk ψ2 0.8 (mm) propuesta</t>
        </is>
      </c>
      <c r="K4" s="4" t="inlineStr">
        <is>
          <t>wmax (mm)</t>
        </is>
      </c>
      <c r="L4" s="4" t="inlineStr">
        <is>
          <t>ψ2 umbral fisura (fctm)</t>
        </is>
      </c>
      <c r="M4" s="4" t="inlineStr">
        <is>
          <t>ψ2 umbral fisura (fctm,fl)</t>
        </is>
      </c>
      <c r="N4" s="4" t="inlineStr">
        <is>
          <t>ψ2 umbral wk &gt; 0.1</t>
        </is>
      </c>
    </row>
    <row r="5">
      <c r="A5" s="5" t="inlineStr">
        <is>
          <t>VT1</t>
        </is>
      </c>
      <c r="B5" s="5" t="inlineStr">
        <is>
          <t>inferior (M+)</t>
        </is>
      </c>
      <c r="C5" s="20" t="n">
        <v>48</v>
      </c>
      <c r="D5" s="20" t="n">
        <v>76.12</v>
      </c>
      <c r="E5" s="20" t="n">
        <v>157.03</v>
      </c>
      <c r="F5" s="7" t="n">
        <v>0.305607476635514</v>
      </c>
      <c r="G5" s="7" t="n">
        <v>0.4847352024922119</v>
      </c>
      <c r="H5" s="7" t="n">
        <v>0</v>
      </c>
      <c r="I5" s="7" t="n">
        <v>0</v>
      </c>
      <c r="J5" s="5" t="n"/>
      <c r="K5" s="20" t="n">
        <v>0.1</v>
      </c>
      <c r="L5" s="5" t="n"/>
      <c r="M5" s="5" t="n"/>
      <c r="N5" s="5" t="n"/>
    </row>
    <row r="6">
      <c r="A6" s="5" t="inlineStr">
        <is>
          <t>VT1</t>
        </is>
      </c>
      <c r="B6" s="5" t="inlineStr">
        <is>
          <t>superior (M-)</t>
        </is>
      </c>
      <c r="C6" s="20" t="n">
        <v>-1.55</v>
      </c>
      <c r="D6" s="20" t="n">
        <v>-1.87</v>
      </c>
      <c r="E6" s="20" t="n">
        <v>143.89</v>
      </c>
      <c r="F6" s="7" t="n">
        <v>0.01090342679127726</v>
      </c>
      <c r="G6" s="7" t="n">
        <v>0.01308411214953271</v>
      </c>
      <c r="H6" s="7" t="n">
        <v>0</v>
      </c>
      <c r="I6" s="7" t="n">
        <v>0</v>
      </c>
      <c r="J6" s="5" t="n"/>
      <c r="K6" s="20" t="n">
        <v>0.1</v>
      </c>
      <c r="L6" s="5" t="n"/>
      <c r="M6" s="5" t="n"/>
      <c r="N6" s="5" t="n"/>
    </row>
    <row r="7">
      <c r="A7" s="5" t="inlineStr">
        <is>
          <t>VT2</t>
        </is>
      </c>
      <c r="B7" s="5" t="inlineStr">
        <is>
          <t>inferior (M+)</t>
        </is>
      </c>
      <c r="C7" s="20" t="n">
        <v>90.41</v>
      </c>
      <c r="D7" s="20" t="n">
        <v>151.9</v>
      </c>
      <c r="E7" s="20" t="n">
        <v>125.23</v>
      </c>
      <c r="F7" s="7" t="n">
        <v>0.7218068535825546</v>
      </c>
      <c r="G7" s="8" t="n">
        <v>1.212772585669782</v>
      </c>
      <c r="H7" s="7" t="n">
        <v>0</v>
      </c>
      <c r="I7" s="8" t="n">
        <v>0.172</v>
      </c>
      <c r="J7" s="7" t="n">
        <v>0.09619999999999999</v>
      </c>
      <c r="K7" s="20" t="n">
        <v>0.1</v>
      </c>
      <c r="L7" s="21" t="n">
        <v>0.583</v>
      </c>
      <c r="M7" s="21" t="n">
        <v>0.634</v>
      </c>
      <c r="N7" s="21" t="n">
        <v>0.583</v>
      </c>
    </row>
    <row r="8">
      <c r="A8" s="5" t="inlineStr">
        <is>
          <t>VT2</t>
        </is>
      </c>
      <c r="B8" s="5" t="inlineStr">
        <is>
          <t>superior (M-)</t>
        </is>
      </c>
      <c r="C8" s="20" t="n">
        <v>-4.13</v>
      </c>
      <c r="D8" s="20" t="n">
        <v>-5.94</v>
      </c>
      <c r="E8" s="20" t="n">
        <v>99.83</v>
      </c>
      <c r="F8" s="7" t="n">
        <v>0.04143302180685358</v>
      </c>
      <c r="G8" s="7" t="n">
        <v>0.05950155763239875</v>
      </c>
      <c r="H8" s="7" t="n">
        <v>0</v>
      </c>
      <c r="I8" s="7" t="n">
        <v>0</v>
      </c>
      <c r="J8" s="5" t="n"/>
      <c r="K8" s="20" t="n">
        <v>0.1</v>
      </c>
      <c r="L8" s="5" t="n"/>
      <c r="M8" s="5" t="n"/>
      <c r="N8" s="5" t="n"/>
    </row>
    <row r="9">
      <c r="A9" s="5" t="inlineStr">
        <is>
          <t>VT3</t>
        </is>
      </c>
      <c r="B9" s="5" t="inlineStr">
        <is>
          <t>inferior (M+)</t>
        </is>
      </c>
      <c r="C9" s="20" t="n">
        <v>81.68000000000001</v>
      </c>
      <c r="D9" s="20" t="n">
        <v>136.85</v>
      </c>
      <c r="E9" s="20" t="n">
        <v>125.23</v>
      </c>
      <c r="F9" s="7" t="n">
        <v>0.6523364485981308</v>
      </c>
      <c r="G9" s="8" t="n">
        <v>1.092834890965732</v>
      </c>
      <c r="H9" s="7" t="n">
        <v>0</v>
      </c>
      <c r="I9" s="8" t="n">
        <v>0.155</v>
      </c>
      <c r="J9" s="7" t="n">
        <v>0.0866</v>
      </c>
      <c r="K9" s="20" t="n">
        <v>0.1</v>
      </c>
      <c r="L9" s="21" t="n">
        <v>0.695</v>
      </c>
      <c r="M9" s="21" t="n">
        <v>0.751</v>
      </c>
      <c r="N9" s="21" t="n">
        <v>0.695</v>
      </c>
    </row>
    <row r="10">
      <c r="A10" s="5" t="inlineStr">
        <is>
          <t>VT3</t>
        </is>
      </c>
      <c r="B10" s="5" t="inlineStr">
        <is>
          <t>superior (M-)</t>
        </is>
      </c>
      <c r="C10" s="20" t="n">
        <v>-3.74</v>
      </c>
      <c r="D10" s="20" t="n">
        <v>-5.29</v>
      </c>
      <c r="E10" s="20" t="n">
        <v>99.83</v>
      </c>
      <c r="F10" s="7" t="n">
        <v>0.03738317757009346</v>
      </c>
      <c r="G10" s="7" t="n">
        <v>0.0529595015576324</v>
      </c>
      <c r="H10" s="7" t="n">
        <v>0</v>
      </c>
      <c r="I10" s="7" t="n">
        <v>0</v>
      </c>
      <c r="J10" s="5" t="n"/>
      <c r="K10" s="20" t="n">
        <v>0.1</v>
      </c>
      <c r="L10" s="5" t="n"/>
      <c r="M10" s="5" t="n"/>
      <c r="N10" s="5" t="n"/>
    </row>
    <row r="11">
      <c r="A11" s="5" t="inlineStr">
        <is>
          <t>VT4</t>
        </is>
      </c>
      <c r="B11" s="5" t="inlineStr">
        <is>
          <t>inferior (M+)</t>
        </is>
      </c>
      <c r="C11" s="20" t="n">
        <v>83.43000000000001</v>
      </c>
      <c r="D11" s="20" t="n">
        <v>139.83</v>
      </c>
      <c r="E11" s="20" t="n">
        <v>125.23</v>
      </c>
      <c r="F11" s="7" t="n">
        <v>0.6660436137071651</v>
      </c>
      <c r="G11" s="8" t="n">
        <v>1.116510903426791</v>
      </c>
      <c r="H11" s="7" t="n">
        <v>0</v>
      </c>
      <c r="I11" s="8" t="n">
        <v>0.158</v>
      </c>
      <c r="J11" s="7" t="n">
        <v>0.0885</v>
      </c>
      <c r="K11" s="20" t="n">
        <v>0.1</v>
      </c>
      <c r="L11" s="21" t="n">
        <v>0.671</v>
      </c>
      <c r="M11" s="21" t="n">
        <v>0.726</v>
      </c>
      <c r="N11" s="21" t="n">
        <v>0.671</v>
      </c>
    </row>
    <row r="12">
      <c r="A12" s="5" t="inlineStr">
        <is>
          <t>VT4</t>
        </is>
      </c>
      <c r="B12" s="5" t="inlineStr">
        <is>
          <t>superior (M-)</t>
        </is>
      </c>
      <c r="C12" s="20" t="n">
        <v>-3.96</v>
      </c>
      <c r="D12" s="20" t="n">
        <v>-5.66</v>
      </c>
      <c r="E12" s="20" t="n">
        <v>99.83</v>
      </c>
      <c r="F12" s="7" t="n">
        <v>0.03956386292834891</v>
      </c>
      <c r="G12" s="7" t="n">
        <v>0.05669781931464175</v>
      </c>
      <c r="H12" s="7" t="n">
        <v>0</v>
      </c>
      <c r="I12" s="7" t="n">
        <v>0</v>
      </c>
      <c r="J12" s="5" t="n"/>
      <c r="K12" s="20" t="n">
        <v>0.1</v>
      </c>
      <c r="L12" s="5" t="n"/>
      <c r="M12" s="5" t="n"/>
      <c r="N12" s="5" t="n"/>
    </row>
    <row r="13">
      <c r="A13" s="5" t="inlineStr">
        <is>
          <t>VT5</t>
        </is>
      </c>
      <c r="B13" s="5" t="inlineStr">
        <is>
          <t>inferior (M+)</t>
        </is>
      </c>
      <c r="C13" s="20" t="n">
        <v>81.68000000000001</v>
      </c>
      <c r="D13" s="20" t="n">
        <v>136.85</v>
      </c>
      <c r="E13" s="20" t="n">
        <v>125.23</v>
      </c>
      <c r="F13" s="7" t="n">
        <v>0.6523364485981308</v>
      </c>
      <c r="G13" s="8" t="n">
        <v>1.092834890965732</v>
      </c>
      <c r="H13" s="7" t="n">
        <v>0</v>
      </c>
      <c r="I13" s="8" t="n">
        <v>0.155</v>
      </c>
      <c r="J13" s="7" t="n">
        <v>0.0866</v>
      </c>
      <c r="K13" s="20" t="n">
        <v>0.1</v>
      </c>
      <c r="L13" s="21" t="n">
        <v>0.695</v>
      </c>
      <c r="M13" s="21" t="n">
        <v>0.751</v>
      </c>
      <c r="N13" s="21" t="n">
        <v>0.695</v>
      </c>
    </row>
    <row r="14">
      <c r="A14" s="5" t="inlineStr">
        <is>
          <t>VT5</t>
        </is>
      </c>
      <c r="B14" s="5" t="inlineStr">
        <is>
          <t>superior (M-)</t>
        </is>
      </c>
      <c r="C14" s="20" t="n">
        <v>-3.74</v>
      </c>
      <c r="D14" s="20" t="n">
        <v>-5.29</v>
      </c>
      <c r="E14" s="20" t="n">
        <v>99.83</v>
      </c>
      <c r="F14" s="7" t="n">
        <v>0.03738317757009346</v>
      </c>
      <c r="G14" s="7" t="n">
        <v>0.0529595015576324</v>
      </c>
      <c r="H14" s="7" t="n">
        <v>0</v>
      </c>
      <c r="I14" s="7" t="n">
        <v>0</v>
      </c>
      <c r="J14" s="5" t="n"/>
      <c r="K14" s="20" t="n">
        <v>0.1</v>
      </c>
      <c r="L14" s="5" t="n"/>
      <c r="M14" s="5" t="n"/>
      <c r="N14" s="5" t="n"/>
    </row>
    <row r="15">
      <c r="A15" s="5" t="inlineStr">
        <is>
          <t>VT6</t>
        </is>
      </c>
      <c r="B15" s="5" t="inlineStr">
        <is>
          <t>inferior (M+)</t>
        </is>
      </c>
      <c r="C15" s="20" t="n">
        <v>90.41</v>
      </c>
      <c r="D15" s="20" t="n">
        <v>151.9</v>
      </c>
      <c r="E15" s="20" t="n">
        <v>125.23</v>
      </c>
      <c r="F15" s="7" t="n">
        <v>0.7218068535825546</v>
      </c>
      <c r="G15" s="8" t="n">
        <v>1.212772585669782</v>
      </c>
      <c r="H15" s="7" t="n">
        <v>0</v>
      </c>
      <c r="I15" s="8" t="n">
        <v>0.172</v>
      </c>
      <c r="J15" s="7" t="n">
        <v>0.09619999999999999</v>
      </c>
      <c r="K15" s="20" t="n">
        <v>0.1</v>
      </c>
      <c r="L15" s="21" t="n">
        <v>0.583</v>
      </c>
      <c r="M15" s="21" t="n">
        <v>0.634</v>
      </c>
      <c r="N15" s="21" t="n">
        <v>0.583</v>
      </c>
    </row>
    <row r="16">
      <c r="A16" s="5" t="inlineStr">
        <is>
          <t>VT6</t>
        </is>
      </c>
      <c r="B16" s="5" t="inlineStr">
        <is>
          <t>superior (M-)</t>
        </is>
      </c>
      <c r="C16" s="20" t="n">
        <v>-4.13</v>
      </c>
      <c r="D16" s="20" t="n">
        <v>-5.94</v>
      </c>
      <c r="E16" s="20" t="n">
        <v>99.83</v>
      </c>
      <c r="F16" s="7" t="n">
        <v>0.04143302180685358</v>
      </c>
      <c r="G16" s="7" t="n">
        <v>0.05950155763239875</v>
      </c>
      <c r="H16" s="7" t="n">
        <v>0</v>
      </c>
      <c r="I16" s="7" t="n">
        <v>0</v>
      </c>
      <c r="J16" s="5" t="n"/>
      <c r="K16" s="20" t="n">
        <v>0.1</v>
      </c>
      <c r="L16" s="5" t="n"/>
      <c r="M16" s="5" t="n"/>
      <c r="N16" s="5" t="n"/>
    </row>
    <row r="17">
      <c r="A17" s="5" t="inlineStr">
        <is>
          <t>VT7</t>
        </is>
      </c>
      <c r="B17" s="5" t="inlineStr">
        <is>
          <t>inferior (M+)</t>
        </is>
      </c>
      <c r="C17" s="20" t="n">
        <v>48</v>
      </c>
      <c r="D17" s="20" t="n">
        <v>76.12</v>
      </c>
      <c r="E17" s="20" t="n">
        <v>157.03</v>
      </c>
      <c r="F17" s="7" t="n">
        <v>0.305607476635514</v>
      </c>
      <c r="G17" s="7" t="n">
        <v>0.4847352024922119</v>
      </c>
      <c r="H17" s="7" t="n">
        <v>0</v>
      </c>
      <c r="I17" s="7" t="n">
        <v>0</v>
      </c>
      <c r="J17" s="5" t="n"/>
      <c r="K17" s="20" t="n">
        <v>0.1</v>
      </c>
      <c r="L17" s="5" t="n"/>
      <c r="M17" s="5" t="n"/>
      <c r="N17" s="5" t="n"/>
    </row>
    <row r="18">
      <c r="A18" s="5" t="inlineStr">
        <is>
          <t>VT7</t>
        </is>
      </c>
      <c r="B18" s="5" t="inlineStr">
        <is>
          <t>superior (M-)</t>
        </is>
      </c>
      <c r="C18" s="20" t="n">
        <v>-1.55</v>
      </c>
      <c r="D18" s="20" t="n">
        <v>-1.87</v>
      </c>
      <c r="E18" s="20" t="n">
        <v>143.89</v>
      </c>
      <c r="F18" s="7" t="n">
        <v>0.01090342679127726</v>
      </c>
      <c r="G18" s="7" t="n">
        <v>0.01308411214953271</v>
      </c>
      <c r="H18" s="7" t="n">
        <v>0</v>
      </c>
      <c r="I18" s="7" t="n">
        <v>0</v>
      </c>
      <c r="J18" s="5" t="n"/>
      <c r="K18" s="20" t="n">
        <v>0.1</v>
      </c>
      <c r="L18" s="5" t="n"/>
      <c r="M18" s="5" t="n"/>
      <c r="N18" s="5" t="n"/>
    </row>
    <row r="19">
      <c r="A19" s="5" t="inlineStr">
        <is>
          <t>VBM</t>
        </is>
      </c>
      <c r="B19" s="5" t="inlineStr">
        <is>
          <t>inferior (M+)</t>
        </is>
      </c>
      <c r="C19" s="20" t="n">
        <v>6.6</v>
      </c>
      <c r="D19" s="20" t="n">
        <v>11</v>
      </c>
      <c r="E19" s="20" t="n">
        <v>12.71</v>
      </c>
      <c r="F19" s="7" t="n">
        <v>0.5196261682242991</v>
      </c>
      <c r="G19" s="7" t="n">
        <v>0.8654205607476636</v>
      </c>
      <c r="H19" s="7" t="n">
        <v>0</v>
      </c>
      <c r="I19" s="7" t="n">
        <v>0</v>
      </c>
      <c r="J19" s="5" t="n"/>
      <c r="K19" s="20" t="n">
        <v>0.1</v>
      </c>
      <c r="L19" s="21" t="n">
        <v>0.995</v>
      </c>
      <c r="M19" s="5" t="n"/>
      <c r="N19" s="21" t="n">
        <v>0.995</v>
      </c>
    </row>
    <row r="20">
      <c r="A20" s="5" t="inlineStr">
        <is>
          <t>VBM</t>
        </is>
      </c>
      <c r="B20" s="5" t="inlineStr">
        <is>
          <t>superior (M-)</t>
        </is>
      </c>
      <c r="C20" s="20" t="n">
        <v>-13.53</v>
      </c>
      <c r="D20" s="20" t="n">
        <v>-22.17</v>
      </c>
      <c r="E20" s="20" t="n">
        <v>12.71</v>
      </c>
      <c r="F20" s="8" t="n">
        <v>1.065109034267913</v>
      </c>
      <c r="G20" s="8" t="n">
        <v>1.744859813084112</v>
      </c>
      <c r="H20" s="8" t="n">
        <v>0.156</v>
      </c>
      <c r="I20" s="8" t="n">
        <v>0.306</v>
      </c>
      <c r="J20" s="7" t="n">
        <v>0.067</v>
      </c>
      <c r="K20" s="20" t="n">
        <v>0.1</v>
      </c>
      <c r="L20" s="21" t="n">
        <v>0.252</v>
      </c>
      <c r="M20" s="21" t="n">
        <v>0.473</v>
      </c>
      <c r="N20" s="21" t="n">
        <v>0.252</v>
      </c>
    </row>
    <row r="21">
      <c r="A21" s="5" t="inlineStr">
        <is>
          <t>VBT</t>
        </is>
      </c>
      <c r="B21" s="5" t="inlineStr">
        <is>
          <t>inferior (M+)</t>
        </is>
      </c>
      <c r="C21" s="20" t="n">
        <v>6.6</v>
      </c>
      <c r="D21" s="20" t="n">
        <v>11</v>
      </c>
      <c r="E21" s="20" t="n">
        <v>12.71</v>
      </c>
      <c r="F21" s="7" t="n">
        <v>0.5196261682242991</v>
      </c>
      <c r="G21" s="7" t="n">
        <v>0.8654205607476636</v>
      </c>
      <c r="H21" s="7" t="n">
        <v>0</v>
      </c>
      <c r="I21" s="7" t="n">
        <v>0</v>
      </c>
      <c r="J21" s="5" t="n"/>
      <c r="K21" s="20" t="n">
        <v>0.1</v>
      </c>
      <c r="L21" s="21" t="n">
        <v>0.995</v>
      </c>
      <c r="M21" s="5" t="n"/>
      <c r="N21" s="21" t="n">
        <v>0.995</v>
      </c>
    </row>
    <row r="22">
      <c r="A22" s="5" t="inlineStr">
        <is>
          <t>VBT</t>
        </is>
      </c>
      <c r="B22" s="5" t="inlineStr">
        <is>
          <t>superior (M-)</t>
        </is>
      </c>
      <c r="C22" s="20" t="n">
        <v>-13.6</v>
      </c>
      <c r="D22" s="20" t="n">
        <v>-22.28</v>
      </c>
      <c r="E22" s="20" t="n">
        <v>12.71</v>
      </c>
      <c r="F22" s="8" t="n">
        <v>1.070093457943925</v>
      </c>
      <c r="G22" s="8" t="n">
        <v>1.753271028037383</v>
      </c>
      <c r="H22" s="8" t="n">
        <v>0.157</v>
      </c>
      <c r="I22" s="8" t="n">
        <v>0.308</v>
      </c>
      <c r="J22" s="7" t="n">
        <v>0.067</v>
      </c>
      <c r="K22" s="20" t="n">
        <v>0.1</v>
      </c>
      <c r="L22" s="21" t="n">
        <v>0.249</v>
      </c>
      <c r="M22" s="21" t="n">
        <v>0.468</v>
      </c>
      <c r="N22" s="21" t="n">
        <v>0.249</v>
      </c>
    </row>
    <row r="23">
      <c r="A23" t="inlineStr">
        <is>
          <t>wk = 0: la sección no fisura (σct ≤ fctm). Propuesta: vigas interiores 8Ø20 alma + 4Ø16 alas; vigas de borde 3Ø25 sup. sobre apoyos (F3, F5).</t>
        </is>
      </c>
    </row>
    <row r="25">
      <c r="A25" s="13" t="inlineStr">
        <is>
          <t>Vigas interiores (ejes 2-6): envolvente de σct/fctm y wk frente a ψ2,Qa (tabla del gráfico)</t>
        </is>
      </c>
    </row>
    <row r="26" ht="32" customHeight="1">
      <c r="A26" s="4" t="inlineStr">
        <is>
          <t>ψ2,Qa</t>
        </is>
      </c>
      <c r="B26" s="4" t="inlineStr">
        <is>
          <t>σct/fctm 7Ø20 (actual)</t>
        </is>
      </c>
      <c r="C26" s="4" t="inlineStr">
        <is>
          <t>σct/fctm 8Ø20+4Ø16 (propuesta)</t>
        </is>
      </c>
      <c r="D26" s="4" t="inlineStr">
        <is>
          <t>wk 7Ø20 (mm)</t>
        </is>
      </c>
      <c r="E26" s="4" t="inlineStr">
        <is>
          <t>wk 8Ø20+4Ø16 (mm)</t>
        </is>
      </c>
      <c r="F26" s="4" t="inlineStr">
        <is>
          <t>wmax (mm)</t>
        </is>
      </c>
      <c r="G26" t="inlineStr">
        <is>
          <t>Fisuración σct = fctm</t>
        </is>
      </c>
    </row>
    <row r="27">
      <c r="A27" s="22" t="n">
        <v>0</v>
      </c>
      <c r="B27" s="21" t="n">
        <v>0.4274</v>
      </c>
      <c r="C27" s="21" t="n">
        <v>0.4144</v>
      </c>
      <c r="D27" s="24" t="n">
        <v>0</v>
      </c>
      <c r="E27" s="24" t="n">
        <v>0</v>
      </c>
      <c r="F27" s="20" t="n">
        <v>0.1</v>
      </c>
      <c r="G27" t="n">
        <v>1</v>
      </c>
    </row>
    <row r="28">
      <c r="A28" s="22" t="n">
        <v>0.02</v>
      </c>
      <c r="B28" s="21" t="n">
        <v>0.447</v>
      </c>
      <c r="C28" s="21" t="n">
        <v>0.4335</v>
      </c>
      <c r="D28" s="24" t="n">
        <v>0</v>
      </c>
      <c r="E28" s="24" t="n">
        <v>0</v>
      </c>
      <c r="F28" s="20" t="n">
        <v>0.1</v>
      </c>
      <c r="G28" t="n">
        <v>1</v>
      </c>
    </row>
    <row r="29">
      <c r="A29" s="22" t="n">
        <v>0.04</v>
      </c>
      <c r="B29" s="21" t="n">
        <v>0.4667</v>
      </c>
      <c r="C29" s="21" t="n">
        <v>0.4525</v>
      </c>
      <c r="D29" s="24" t="n">
        <v>0</v>
      </c>
      <c r="E29" s="24" t="n">
        <v>0</v>
      </c>
      <c r="F29" s="20" t="n">
        <v>0.1</v>
      </c>
      <c r="G29" t="n">
        <v>1</v>
      </c>
    </row>
    <row r="30">
      <c r="A30" s="22" t="n">
        <v>0.06</v>
      </c>
      <c r="B30" s="21" t="n">
        <v>0.4863</v>
      </c>
      <c r="C30" s="21" t="n">
        <v>0.4716</v>
      </c>
      <c r="D30" s="24" t="n">
        <v>0</v>
      </c>
      <c r="E30" s="24" t="n">
        <v>0</v>
      </c>
      <c r="F30" s="20" t="n">
        <v>0.1</v>
      </c>
      <c r="G30" t="n">
        <v>1</v>
      </c>
    </row>
    <row r="31">
      <c r="A31" s="22" t="n">
        <v>0.08</v>
      </c>
      <c r="B31" s="21" t="n">
        <v>0.5059</v>
      </c>
      <c r="C31" s="21" t="n">
        <v>0.4906</v>
      </c>
      <c r="D31" s="24" t="n">
        <v>0</v>
      </c>
      <c r="E31" s="24" t="n">
        <v>0</v>
      </c>
      <c r="F31" s="20" t="n">
        <v>0.1</v>
      </c>
      <c r="G31" t="n">
        <v>1</v>
      </c>
    </row>
    <row r="32">
      <c r="A32" s="22" t="n">
        <v>0.1</v>
      </c>
      <c r="B32" s="21" t="n">
        <v>0.5256</v>
      </c>
      <c r="C32" s="21" t="n">
        <v>0.5096000000000001</v>
      </c>
      <c r="D32" s="24" t="n">
        <v>0</v>
      </c>
      <c r="E32" s="24" t="n">
        <v>0</v>
      </c>
      <c r="F32" s="20" t="n">
        <v>0.1</v>
      </c>
      <c r="G32" t="n">
        <v>1</v>
      </c>
    </row>
    <row r="33">
      <c r="A33" s="22" t="n">
        <v>0.12</v>
      </c>
      <c r="B33" s="21" t="n">
        <v>0.5452</v>
      </c>
      <c r="C33" s="21" t="n">
        <v>0.5286999999999999</v>
      </c>
      <c r="D33" s="24" t="n">
        <v>0</v>
      </c>
      <c r="E33" s="24" t="n">
        <v>0</v>
      </c>
      <c r="F33" s="20" t="n">
        <v>0.1</v>
      </c>
      <c r="G33" t="n">
        <v>1</v>
      </c>
    </row>
    <row r="34">
      <c r="A34" s="22" t="n">
        <v>0.14</v>
      </c>
      <c r="B34" s="21" t="n">
        <v>0.5649</v>
      </c>
      <c r="C34" s="21" t="n">
        <v>0.5477</v>
      </c>
      <c r="D34" s="24" t="n">
        <v>0</v>
      </c>
      <c r="E34" s="24" t="n">
        <v>0</v>
      </c>
      <c r="F34" s="20" t="n">
        <v>0.1</v>
      </c>
      <c r="G34" t="n">
        <v>1</v>
      </c>
    </row>
    <row r="35">
      <c r="A35" s="22" t="n">
        <v>0.16</v>
      </c>
      <c r="B35" s="21" t="n">
        <v>0.5845</v>
      </c>
      <c r="C35" s="21" t="n">
        <v>0.5668</v>
      </c>
      <c r="D35" s="24" t="n">
        <v>0</v>
      </c>
      <c r="E35" s="24" t="n">
        <v>0</v>
      </c>
      <c r="F35" s="20" t="n">
        <v>0.1</v>
      </c>
      <c r="G35" t="n">
        <v>1</v>
      </c>
    </row>
    <row r="36">
      <c r="A36" s="22" t="n">
        <v>0.18</v>
      </c>
      <c r="B36" s="21" t="n">
        <v>0.6041</v>
      </c>
      <c r="C36" s="21" t="n">
        <v>0.5858</v>
      </c>
      <c r="D36" s="24" t="n">
        <v>0</v>
      </c>
      <c r="E36" s="24" t="n">
        <v>0</v>
      </c>
      <c r="F36" s="20" t="n">
        <v>0.1</v>
      </c>
      <c r="G36" t="n">
        <v>1</v>
      </c>
    </row>
    <row r="37">
      <c r="A37" s="22" t="n">
        <v>0.2</v>
      </c>
      <c r="B37" s="21" t="n">
        <v>0.6238</v>
      </c>
      <c r="C37" s="21" t="n">
        <v>0.6049</v>
      </c>
      <c r="D37" s="24" t="n">
        <v>0</v>
      </c>
      <c r="E37" s="24" t="n">
        <v>0</v>
      </c>
      <c r="F37" s="20" t="n">
        <v>0.1</v>
      </c>
      <c r="G37" t="n">
        <v>1</v>
      </c>
    </row>
    <row r="38">
      <c r="A38" s="22" t="n">
        <v>0.22</v>
      </c>
      <c r="B38" s="21" t="n">
        <v>0.6434</v>
      </c>
      <c r="C38" s="21" t="n">
        <v>0.6239</v>
      </c>
      <c r="D38" s="24" t="n">
        <v>0</v>
      </c>
      <c r="E38" s="24" t="n">
        <v>0</v>
      </c>
      <c r="F38" s="20" t="n">
        <v>0.1</v>
      </c>
      <c r="G38" t="n">
        <v>1</v>
      </c>
    </row>
    <row r="39">
      <c r="A39" s="22" t="n">
        <v>0.24</v>
      </c>
      <c r="B39" s="21" t="n">
        <v>0.6631</v>
      </c>
      <c r="C39" s="21" t="n">
        <v>0.6429</v>
      </c>
      <c r="D39" s="24" t="n">
        <v>0</v>
      </c>
      <c r="E39" s="24" t="n">
        <v>0</v>
      </c>
      <c r="F39" s="20" t="n">
        <v>0.1</v>
      </c>
      <c r="G39" t="n">
        <v>1</v>
      </c>
    </row>
    <row r="40">
      <c r="A40" s="22" t="n">
        <v>0.26</v>
      </c>
      <c r="B40" s="21" t="n">
        <v>0.6827</v>
      </c>
      <c r="C40" s="21" t="n">
        <v>0.662</v>
      </c>
      <c r="D40" s="24" t="n">
        <v>0</v>
      </c>
      <c r="E40" s="24" t="n">
        <v>0</v>
      </c>
      <c r="F40" s="20" t="n">
        <v>0.1</v>
      </c>
      <c r="G40" t="n">
        <v>1</v>
      </c>
    </row>
    <row r="41">
      <c r="A41" s="22" t="n">
        <v>0.28</v>
      </c>
      <c r="B41" s="21" t="n">
        <v>0.7023</v>
      </c>
      <c r="C41" s="21" t="n">
        <v>0.681</v>
      </c>
      <c r="D41" s="24" t="n">
        <v>0</v>
      </c>
      <c r="E41" s="24" t="n">
        <v>0</v>
      </c>
      <c r="F41" s="20" t="n">
        <v>0.1</v>
      </c>
      <c r="G41" t="n">
        <v>1</v>
      </c>
    </row>
    <row r="42">
      <c r="A42" s="22" t="n">
        <v>0.3</v>
      </c>
      <c r="B42" s="21" t="n">
        <v>0.722</v>
      </c>
      <c r="C42" s="21" t="n">
        <v>0.7000999999999999</v>
      </c>
      <c r="D42" s="24" t="n">
        <v>0</v>
      </c>
      <c r="E42" s="24" t="n">
        <v>0</v>
      </c>
      <c r="F42" s="20" t="n">
        <v>0.1</v>
      </c>
      <c r="G42" t="n">
        <v>1</v>
      </c>
    </row>
    <row r="43">
      <c r="A43" s="22" t="n">
        <v>0.32</v>
      </c>
      <c r="B43" s="21" t="n">
        <v>0.7416</v>
      </c>
      <c r="C43" s="21" t="n">
        <v>0.7191</v>
      </c>
      <c r="D43" s="24" t="n">
        <v>0</v>
      </c>
      <c r="E43" s="24" t="n">
        <v>0</v>
      </c>
      <c r="F43" s="20" t="n">
        <v>0.1</v>
      </c>
      <c r="G43" t="n">
        <v>1</v>
      </c>
    </row>
    <row r="44">
      <c r="A44" s="22" t="n">
        <v>0.34</v>
      </c>
      <c r="B44" s="21" t="n">
        <v>0.7612</v>
      </c>
      <c r="C44" s="21" t="n">
        <v>0.7382</v>
      </c>
      <c r="D44" s="24" t="n">
        <v>0</v>
      </c>
      <c r="E44" s="24" t="n">
        <v>0</v>
      </c>
      <c r="F44" s="20" t="n">
        <v>0.1</v>
      </c>
      <c r="G44" t="n">
        <v>1</v>
      </c>
    </row>
    <row r="45">
      <c r="A45" s="22" t="n">
        <v>0.36</v>
      </c>
      <c r="B45" s="21" t="n">
        <v>0.7809</v>
      </c>
      <c r="C45" s="21" t="n">
        <v>0.7572</v>
      </c>
      <c r="D45" s="24" t="n">
        <v>0</v>
      </c>
      <c r="E45" s="24" t="n">
        <v>0</v>
      </c>
      <c r="F45" s="20" t="n">
        <v>0.1</v>
      </c>
      <c r="G45" t="n">
        <v>1</v>
      </c>
    </row>
    <row r="46">
      <c r="A46" s="22" t="n">
        <v>0.38</v>
      </c>
      <c r="B46" s="21" t="n">
        <v>0.8005</v>
      </c>
      <c r="C46" s="21" t="n">
        <v>0.7762</v>
      </c>
      <c r="D46" s="24" t="n">
        <v>0</v>
      </c>
      <c r="E46" s="24" t="n">
        <v>0</v>
      </c>
      <c r="F46" s="20" t="n">
        <v>0.1</v>
      </c>
      <c r="G46" t="n">
        <v>1</v>
      </c>
    </row>
    <row r="47">
      <c r="A47" s="22" t="n">
        <v>0.4</v>
      </c>
      <c r="B47" s="21" t="n">
        <v>0.8202</v>
      </c>
      <c r="C47" s="21" t="n">
        <v>0.7953</v>
      </c>
      <c r="D47" s="24" t="n">
        <v>0</v>
      </c>
      <c r="E47" s="24" t="n">
        <v>0</v>
      </c>
      <c r="F47" s="20" t="n">
        <v>0.1</v>
      </c>
      <c r="G47" t="n">
        <v>1</v>
      </c>
    </row>
    <row r="48">
      <c r="A48" s="22" t="n">
        <v>0.42</v>
      </c>
      <c r="B48" s="21" t="n">
        <v>0.8398</v>
      </c>
      <c r="C48" s="21" t="n">
        <v>0.8143</v>
      </c>
      <c r="D48" s="24" t="n">
        <v>0</v>
      </c>
      <c r="E48" s="24" t="n">
        <v>0</v>
      </c>
      <c r="F48" s="20" t="n">
        <v>0.1</v>
      </c>
      <c r="G48" t="n">
        <v>1</v>
      </c>
    </row>
    <row r="49">
      <c r="A49" s="22" t="n">
        <v>0.44</v>
      </c>
      <c r="B49" s="21" t="n">
        <v>0.8594000000000001</v>
      </c>
      <c r="C49" s="21" t="n">
        <v>0.8334</v>
      </c>
      <c r="D49" s="24" t="n">
        <v>0</v>
      </c>
      <c r="E49" s="24" t="n">
        <v>0</v>
      </c>
      <c r="F49" s="20" t="n">
        <v>0.1</v>
      </c>
      <c r="G49" t="n">
        <v>1</v>
      </c>
    </row>
    <row r="50">
      <c r="A50" s="22" t="n">
        <v>0.46</v>
      </c>
      <c r="B50" s="21" t="n">
        <v>0.8791</v>
      </c>
      <c r="C50" s="21" t="n">
        <v>0.8524</v>
      </c>
      <c r="D50" s="24" t="n">
        <v>0</v>
      </c>
      <c r="E50" s="24" t="n">
        <v>0</v>
      </c>
      <c r="F50" s="20" t="n">
        <v>0.1</v>
      </c>
      <c r="G50" t="n">
        <v>1</v>
      </c>
    </row>
    <row r="51">
      <c r="A51" s="22" t="n">
        <v>0.48</v>
      </c>
      <c r="B51" s="21" t="n">
        <v>0.8987000000000001</v>
      </c>
      <c r="C51" s="21" t="n">
        <v>0.8715000000000001</v>
      </c>
      <c r="D51" s="24" t="n">
        <v>0</v>
      </c>
      <c r="E51" s="24" t="n">
        <v>0</v>
      </c>
      <c r="F51" s="20" t="n">
        <v>0.1</v>
      </c>
      <c r="G51" t="n">
        <v>1</v>
      </c>
    </row>
    <row r="52">
      <c r="A52" s="22" t="n">
        <v>0.5</v>
      </c>
      <c r="B52" s="21" t="n">
        <v>0.9183</v>
      </c>
      <c r="C52" s="21" t="n">
        <v>0.8905</v>
      </c>
      <c r="D52" s="24" t="n">
        <v>0</v>
      </c>
      <c r="E52" s="24" t="n">
        <v>0</v>
      </c>
      <c r="F52" s="20" t="n">
        <v>0.1</v>
      </c>
      <c r="G52" t="n">
        <v>1</v>
      </c>
    </row>
    <row r="53">
      <c r="A53" s="22" t="n">
        <v>0.52</v>
      </c>
      <c r="B53" s="21" t="n">
        <v>0.9379999999999999</v>
      </c>
      <c r="C53" s="21" t="n">
        <v>0.9095</v>
      </c>
      <c r="D53" s="24" t="n">
        <v>0</v>
      </c>
      <c r="E53" s="24" t="n">
        <v>0</v>
      </c>
      <c r="F53" s="20" t="n">
        <v>0.1</v>
      </c>
      <c r="G53" t="n">
        <v>1</v>
      </c>
    </row>
    <row r="54">
      <c r="A54" s="22" t="n">
        <v>0.54</v>
      </c>
      <c r="B54" s="21" t="n">
        <v>0.9576</v>
      </c>
      <c r="C54" s="21" t="n">
        <v>0.9286</v>
      </c>
      <c r="D54" s="24" t="n">
        <v>0</v>
      </c>
      <c r="E54" s="24" t="n">
        <v>0</v>
      </c>
      <c r="F54" s="20" t="n">
        <v>0.1</v>
      </c>
      <c r="G54" t="n">
        <v>1</v>
      </c>
    </row>
    <row r="55">
      <c r="A55" s="22" t="n">
        <v>0.5600000000000001</v>
      </c>
      <c r="B55" s="21" t="n">
        <v>0.9772999999999999</v>
      </c>
      <c r="C55" s="21" t="n">
        <v>0.9476</v>
      </c>
      <c r="D55" s="24" t="n">
        <v>0</v>
      </c>
      <c r="E55" s="24" t="n">
        <v>0</v>
      </c>
      <c r="F55" s="20" t="n">
        <v>0.1</v>
      </c>
      <c r="G55" t="n">
        <v>1</v>
      </c>
    </row>
    <row r="56">
      <c r="A56" s="22" t="n">
        <v>0.58</v>
      </c>
      <c r="B56" s="21" t="n">
        <v>0.9969</v>
      </c>
      <c r="C56" s="21" t="n">
        <v>0.9667</v>
      </c>
      <c r="D56" s="24" t="n">
        <v>0</v>
      </c>
      <c r="E56" s="24" t="n">
        <v>0</v>
      </c>
      <c r="F56" s="20" t="n">
        <v>0.1</v>
      </c>
      <c r="G56" t="n">
        <v>1</v>
      </c>
    </row>
    <row r="57">
      <c r="A57" s="22" t="n">
        <v>0.6</v>
      </c>
      <c r="B57" s="21" t="n">
        <v>1.0165</v>
      </c>
      <c r="C57" s="21" t="n">
        <v>0.9857</v>
      </c>
      <c r="D57" s="24" t="n">
        <v>0.1442</v>
      </c>
      <c r="E57" s="24" t="n">
        <v>0</v>
      </c>
      <c r="F57" s="20" t="n">
        <v>0.1</v>
      </c>
      <c r="G57" t="n">
        <v>1</v>
      </c>
    </row>
    <row r="58">
      <c r="A58" s="22" t="n">
        <v>0.62</v>
      </c>
      <c r="B58" s="21" t="n">
        <v>1.0362</v>
      </c>
      <c r="C58" s="21" t="n">
        <v>1.0048</v>
      </c>
      <c r="D58" s="24" t="n">
        <v>0.147</v>
      </c>
      <c r="E58" s="24" t="n">
        <v>0.0822</v>
      </c>
      <c r="F58" s="20" t="n">
        <v>0.1</v>
      </c>
      <c r="G58" t="n">
        <v>1</v>
      </c>
    </row>
    <row r="59">
      <c r="A59" s="22" t="n">
        <v>0.64</v>
      </c>
      <c r="B59" s="21" t="n">
        <v>1.0558</v>
      </c>
      <c r="C59" s="21" t="n">
        <v>1.0238</v>
      </c>
      <c r="D59" s="24" t="n">
        <v>0.1497</v>
      </c>
      <c r="E59" s="24" t="n">
        <v>0.0837</v>
      </c>
      <c r="F59" s="20" t="n">
        <v>0.1</v>
      </c>
      <c r="G59" t="n">
        <v>1</v>
      </c>
    </row>
    <row r="60">
      <c r="A60" s="22" t="n">
        <v>0.66</v>
      </c>
      <c r="B60" s="21" t="n">
        <v>1.0755</v>
      </c>
      <c r="C60" s="21" t="n">
        <v>1.0428</v>
      </c>
      <c r="D60" s="24" t="n">
        <v>0.1525</v>
      </c>
      <c r="E60" s="24" t="n">
        <v>0.0853</v>
      </c>
      <c r="F60" s="20" t="n">
        <v>0.1</v>
      </c>
      <c r="G60" t="n">
        <v>1</v>
      </c>
    </row>
    <row r="61">
      <c r="A61" s="22" t="n">
        <v>0.68</v>
      </c>
      <c r="B61" s="21" t="n">
        <v>1.0951</v>
      </c>
      <c r="C61" s="21" t="n">
        <v>1.0619</v>
      </c>
      <c r="D61" s="24" t="n">
        <v>0.1553</v>
      </c>
      <c r="E61" s="24" t="n">
        <v>0.0868</v>
      </c>
      <c r="F61" s="20" t="n">
        <v>0.1</v>
      </c>
      <c r="G61" t="n">
        <v>1</v>
      </c>
    </row>
    <row r="62">
      <c r="A62" s="22" t="n">
        <v>0.7</v>
      </c>
      <c r="B62" s="21" t="n">
        <v>1.1147</v>
      </c>
      <c r="C62" s="21" t="n">
        <v>1.0809</v>
      </c>
      <c r="D62" s="24" t="n">
        <v>0.1581</v>
      </c>
      <c r="E62" s="24" t="n">
        <v>0.08840000000000001</v>
      </c>
      <c r="F62" s="20" t="n">
        <v>0.1</v>
      </c>
      <c r="G62" t="n">
        <v>1</v>
      </c>
    </row>
    <row r="63">
      <c r="A63" s="22" t="n">
        <v>0.72</v>
      </c>
      <c r="B63" s="21" t="n">
        <v>1.1344</v>
      </c>
      <c r="C63" s="21" t="n">
        <v>1.1</v>
      </c>
      <c r="D63" s="24" t="n">
        <v>0.1609</v>
      </c>
      <c r="E63" s="24" t="n">
        <v>0.08989999999999999</v>
      </c>
      <c r="F63" s="20" t="n">
        <v>0.1</v>
      </c>
      <c r="G63" t="n">
        <v>1</v>
      </c>
    </row>
    <row r="64">
      <c r="A64" s="22" t="n">
        <v>0.74</v>
      </c>
      <c r="B64" s="21" t="n">
        <v>1.154</v>
      </c>
      <c r="C64" s="21" t="n">
        <v>1.119</v>
      </c>
      <c r="D64" s="24" t="n">
        <v>0.1637</v>
      </c>
      <c r="E64" s="24" t="n">
        <v>0.0915</v>
      </c>
      <c r="F64" s="20" t="n">
        <v>0.1</v>
      </c>
      <c r="G64" t="n">
        <v>1</v>
      </c>
    </row>
    <row r="65">
      <c r="A65" s="22" t="n">
        <v>0.76</v>
      </c>
      <c r="B65" s="21" t="n">
        <v>1.1736</v>
      </c>
      <c r="C65" s="21" t="n">
        <v>1.1381</v>
      </c>
      <c r="D65" s="24" t="n">
        <v>0.1665</v>
      </c>
      <c r="E65" s="24" t="n">
        <v>0.0931</v>
      </c>
      <c r="F65" s="20" t="n">
        <v>0.1</v>
      </c>
      <c r="G65" t="n">
        <v>1</v>
      </c>
    </row>
    <row r="66">
      <c r="A66" s="22" t="n">
        <v>0.78</v>
      </c>
      <c r="B66" s="21" t="n">
        <v>1.1933</v>
      </c>
      <c r="C66" s="21" t="n">
        <v>1.1571</v>
      </c>
      <c r="D66" s="24" t="n">
        <v>0.1692</v>
      </c>
      <c r="E66" s="24" t="n">
        <v>0.0946</v>
      </c>
      <c r="F66" s="20" t="n">
        <v>0.1</v>
      </c>
      <c r="G66" t="n">
        <v>1</v>
      </c>
    </row>
    <row r="67">
      <c r="A67" s="22" t="n">
        <v>0.8</v>
      </c>
      <c r="B67" s="21" t="n">
        <v>1.2129</v>
      </c>
      <c r="C67" s="21" t="n">
        <v>1.1761</v>
      </c>
      <c r="D67" s="24" t="n">
        <v>0.172</v>
      </c>
      <c r="E67" s="24" t="n">
        <v>0.09619999999999999</v>
      </c>
      <c r="F67" s="20" t="n">
        <v>0.1</v>
      </c>
      <c r="G67" t="n">
        <v>1</v>
      </c>
    </row>
    <row r="68">
      <c r="A68" s="22" t="n">
        <v>0.82</v>
      </c>
      <c r="B68" s="21" t="n">
        <v>1.2326</v>
      </c>
      <c r="C68" s="21" t="n">
        <v>1.1952</v>
      </c>
      <c r="D68" s="24" t="n">
        <v>0.1748</v>
      </c>
      <c r="E68" s="24" t="n">
        <v>0.0977</v>
      </c>
      <c r="F68" s="20" t="n">
        <v>0.1</v>
      </c>
      <c r="G68" t="n">
        <v>1</v>
      </c>
    </row>
    <row r="69">
      <c r="A69" s="22" t="n">
        <v>0.84</v>
      </c>
      <c r="B69" s="21" t="n">
        <v>1.2522</v>
      </c>
      <c r="C69" s="21" t="n">
        <v>1.2142</v>
      </c>
      <c r="D69" s="24" t="n">
        <v>0.1776</v>
      </c>
      <c r="E69" s="24" t="n">
        <v>0.0993</v>
      </c>
      <c r="F69" s="20" t="n">
        <v>0.1</v>
      </c>
      <c r="G69" t="n">
        <v>1</v>
      </c>
    </row>
    <row r="70">
      <c r="A70" s="22" t="n">
        <v>0.86</v>
      </c>
      <c r="B70" s="21" t="n">
        <v>1.2718</v>
      </c>
      <c r="C70" s="21" t="n">
        <v>1.2333</v>
      </c>
      <c r="D70" s="24" t="n">
        <v>0.1804</v>
      </c>
      <c r="E70" s="24" t="n">
        <v>0.1008</v>
      </c>
      <c r="F70" s="20" t="n">
        <v>0.1</v>
      </c>
      <c r="G70" t="n">
        <v>1</v>
      </c>
    </row>
    <row r="71">
      <c r="A71" s="22" t="n">
        <v>0.88</v>
      </c>
      <c r="B71" s="21" t="n">
        <v>1.2915</v>
      </c>
      <c r="C71" s="21" t="n">
        <v>1.2523</v>
      </c>
      <c r="D71" s="24" t="n">
        <v>0.1832</v>
      </c>
      <c r="E71" s="24" t="n">
        <v>0.1024</v>
      </c>
      <c r="F71" s="20" t="n">
        <v>0.1</v>
      </c>
      <c r="G71" t="n">
        <v>1</v>
      </c>
    </row>
    <row r="72">
      <c r="A72" s="22" t="n">
        <v>0.9</v>
      </c>
      <c r="B72" s="21" t="n">
        <v>1.3111</v>
      </c>
      <c r="C72" s="21" t="n">
        <v>1.2713</v>
      </c>
      <c r="D72" s="24" t="n">
        <v>0.186</v>
      </c>
      <c r="E72" s="24" t="n">
        <v>0.104</v>
      </c>
      <c r="F72" s="20" t="n">
        <v>0.1</v>
      </c>
      <c r="G72" t="n">
        <v>1</v>
      </c>
    </row>
    <row r="73">
      <c r="A73" s="22" t="n">
        <v>0.92</v>
      </c>
      <c r="B73" s="21" t="n">
        <v>1.3307</v>
      </c>
      <c r="C73" s="21" t="n">
        <v>1.2904</v>
      </c>
      <c r="D73" s="24" t="n">
        <v>0.1887</v>
      </c>
      <c r="E73" s="24" t="n">
        <v>0.1055</v>
      </c>
      <c r="F73" s="20" t="n">
        <v>0.1</v>
      </c>
      <c r="G73" t="n">
        <v>1</v>
      </c>
    </row>
    <row r="74">
      <c r="A74" s="22" t="n">
        <v>0.9399999999999999</v>
      </c>
      <c r="B74" s="21" t="n">
        <v>1.3504</v>
      </c>
      <c r="C74" s="21" t="n">
        <v>1.3094</v>
      </c>
      <c r="D74" s="24" t="n">
        <v>0.1915</v>
      </c>
      <c r="E74" s="24" t="n">
        <v>0.1071</v>
      </c>
      <c r="F74" s="20" t="n">
        <v>0.1</v>
      </c>
      <c r="G74" t="n">
        <v>1</v>
      </c>
    </row>
    <row r="75">
      <c r="A75" s="22" t="n">
        <v>0.96</v>
      </c>
      <c r="B75" s="21" t="n">
        <v>1.37</v>
      </c>
      <c r="C75" s="21" t="n">
        <v>1.3285</v>
      </c>
      <c r="D75" s="24" t="n">
        <v>0.1943</v>
      </c>
      <c r="E75" s="24" t="n">
        <v>0.1086</v>
      </c>
      <c r="F75" s="20" t="n">
        <v>0.1</v>
      </c>
      <c r="G75" t="n">
        <v>1</v>
      </c>
    </row>
    <row r="76">
      <c r="A76" s="22" t="n">
        <v>0.98</v>
      </c>
      <c r="B76" s="21" t="n">
        <v>1.3897</v>
      </c>
      <c r="C76" s="21" t="n">
        <v>1.3475</v>
      </c>
      <c r="D76" s="24" t="n">
        <v>0.1971</v>
      </c>
      <c r="E76" s="24" t="n">
        <v>0.1102</v>
      </c>
      <c r="F76" s="20" t="n">
        <v>0.1</v>
      </c>
      <c r="G76" t="n">
        <v>1</v>
      </c>
    </row>
    <row r="77">
      <c r="A77" s="22" t="n">
        <v>1</v>
      </c>
      <c r="B77" s="21" t="n">
        <v>1.4093</v>
      </c>
      <c r="C77" s="21" t="n">
        <v>1.3666</v>
      </c>
      <c r="D77" s="24" t="n">
        <v>0.1999</v>
      </c>
      <c r="E77" s="24" t="n">
        <v>0.1121</v>
      </c>
      <c r="F77" s="20" t="n">
        <v>0.1</v>
      </c>
      <c r="G77" t="n">
        <v>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R5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1.9" customWidth="1" min="2" max="2"/>
    <col width="24" customWidth="1" min="3" max="3"/>
    <col width="30" customWidth="1" min="4" max="4"/>
    <col width="14.6" customWidth="1" min="5" max="5"/>
    <col width="14.6" customWidth="1" min="6" max="6"/>
    <col width="28" customWidth="1" min="7" max="7"/>
    <col width="11" customWidth="1" min="8" max="8"/>
    <col width="26" customWidth="1" min="9" max="9"/>
    <col width="15.5" customWidth="1" min="10" max="10"/>
    <col width="11" customWidth="1" min="11" max="11"/>
    <col width="10.1" customWidth="1" min="12" max="12"/>
    <col width="15.5" customWidth="1" min="13" max="13"/>
    <col width="12.8" customWidth="1" min="14" max="14"/>
    <col width="11.9" customWidth="1" min="15" max="15"/>
    <col width="10" customWidth="1" min="16" max="16"/>
    <col width="15.5" customWidth="1" min="17" max="17"/>
    <col width="50" customWidth="1" min="18" max="18"/>
  </cols>
  <sheetData>
    <row r="1">
      <c r="A1" s="1" t="inlineStr">
        <is>
          <t>Propuesta de armado final (base ROM, Mode.CODIGO, XS3): dispuesto (Anejo 10) frente a propuesto</t>
        </is>
      </c>
    </row>
    <row r="2">
      <c r="A2" s="2" t="inlineStr">
        <is>
          <t>η de cada comprobación después del cambio (verificación de vigas.py con el armado propuesto; pilotes: armado dispuesto + confinamiento de cabeza).</t>
        </is>
      </c>
    </row>
    <row r="4" ht="32" customHeight="1">
      <c r="A4" s="4" t="inlineStr">
        <is>
          <t>Elemento</t>
        </is>
      </c>
      <c r="B4" s="4" t="inlineStr">
        <is>
          <t>Cara / zona</t>
        </is>
      </c>
      <c r="C4" s="4" t="inlineStr">
        <is>
          <t>Dispuesto (Anejo 10)</t>
        </is>
      </c>
      <c r="D4" s="4" t="inlineStr">
        <is>
          <t>Propuesto (final)</t>
        </is>
      </c>
      <c r="E4" s="4" t="inlineStr">
        <is>
          <t>As disp. (cm²)</t>
        </is>
      </c>
      <c r="F4" s="4" t="inlineStr">
        <is>
          <t>As prop. (cm²)</t>
        </is>
      </c>
      <c r="G4" s="4" t="inlineStr">
        <is>
          <t>kg/m disp. (fila sup.: toda la long.; estribos: alma)</t>
        </is>
      </c>
      <c r="H4" s="4" t="inlineStr">
        <is>
          <t>kg/m prop.</t>
        </is>
      </c>
      <c r="I4" s="4" t="inlineStr">
        <is>
          <t>Cambio</t>
        </is>
      </c>
      <c r="J4" s="4" t="inlineStr">
        <is>
          <t>η flexión / N-M</t>
        </is>
      </c>
      <c r="K4" s="4" t="inlineStr">
        <is>
          <t>η cortante</t>
        </is>
      </c>
      <c r="L4" s="4" t="inlineStr">
        <is>
          <t>η torsión</t>
        </is>
      </c>
      <c r="M4" s="4" t="inlineStr">
        <is>
          <t>η disposiciones</t>
        </is>
      </c>
      <c r="N4" s="4" t="inlineStr">
        <is>
          <t>η fisuración</t>
        </is>
      </c>
      <c r="O4" s="4" t="inlineStr">
        <is>
          <t>η tensiones</t>
        </is>
      </c>
      <c r="P4" s="4" t="inlineStr">
        <is>
          <t>η flecha</t>
        </is>
      </c>
      <c r="Q4" s="4" t="inlineStr">
        <is>
          <t>Veredicto final</t>
        </is>
      </c>
      <c r="R4" s="4" t="inlineStr">
        <is>
          <t>Información / sensibilidad</t>
        </is>
      </c>
    </row>
    <row r="5">
      <c r="A5" s="5" t="inlineStr">
        <is>
          <t>P1</t>
        </is>
      </c>
      <c r="B5" s="5" t="inlineStr">
        <is>
          <t>pilote</t>
        </is>
      </c>
      <c r="C5" s="5" t="inlineStr">
        <is>
          <t>12Ø25 + 3cØ10 c/150</t>
        </is>
      </c>
      <c r="D5" s="5" t="inlineStr">
        <is>
          <t>12Ø25 + 3cØ10 c/150; c/100 en 0.40 m sup.</t>
        </is>
      </c>
      <c r="E5" s="22" t="n">
        <v>58.905</v>
      </c>
      <c r="F5" s="22" t="n">
        <v>58.905</v>
      </c>
      <c r="G5" s="22" t="n">
        <v>60.215</v>
      </c>
      <c r="H5" s="22" t="n">
        <v>60.215</v>
      </c>
      <c r="I5" s="5" t="inlineStr">
        <is>
          <t>+2.8 kg/pilote (cercos)</t>
        </is>
      </c>
      <c r="J5" s="7" t="n">
        <v>0.91918</v>
      </c>
      <c r="K5" s="7" t="n">
        <v>0.55999</v>
      </c>
      <c r="L5" s="5" t="n"/>
      <c r="M5" s="7" t="n">
        <v>0.92039</v>
      </c>
      <c r="N5" s="7" t="n">
        <v>0.75509</v>
      </c>
      <c r="O5" s="11" t="n">
        <v>0.9660300000000001</v>
      </c>
      <c r="P5" s="5" t="n"/>
      <c r="Q5" s="10" t="inlineStr">
        <is>
          <t>CUMPLE (confinamiento)</t>
        </is>
      </c>
      <c r="R5" s="5" t="inlineStr">
        <is>
          <t>σc/0.6fck Ecm 1.109 -&gt; confinamiento</t>
        </is>
      </c>
    </row>
    <row r="6">
      <c r="A6" s="5" t="inlineStr">
        <is>
          <t>P2</t>
        </is>
      </c>
      <c r="B6" s="5" t="inlineStr">
        <is>
          <t>pilote</t>
        </is>
      </c>
      <c r="C6" s="5" t="inlineStr">
        <is>
          <t>12Ø25 + 3cØ10 c/150</t>
        </is>
      </c>
      <c r="D6" s="5" t="inlineStr">
        <is>
          <t>12Ø25 + 3cØ10 c/150; c/100 en 0.40 m sup.</t>
        </is>
      </c>
      <c r="E6" s="22" t="n">
        <v>58.905</v>
      </c>
      <c r="F6" s="22" t="n">
        <v>58.905</v>
      </c>
      <c r="G6" s="22" t="n">
        <v>60.215</v>
      </c>
      <c r="H6" s="22" t="n">
        <v>60.215</v>
      </c>
      <c r="I6" s="5" t="inlineStr">
        <is>
          <t>+2.8 kg/pilote (cercos)</t>
        </is>
      </c>
      <c r="J6" s="7" t="n">
        <v>0.8146600000000001</v>
      </c>
      <c r="K6" s="7" t="n">
        <v>0.81373</v>
      </c>
      <c r="L6" s="5" t="n"/>
      <c r="M6" s="7" t="n">
        <v>0.92039</v>
      </c>
      <c r="N6" s="7" t="n">
        <v>0.76431</v>
      </c>
      <c r="O6" s="7" t="n">
        <v>0.8988</v>
      </c>
      <c r="P6" s="5" t="n"/>
      <c r="Q6" s="10" t="inlineStr">
        <is>
          <t>CUMPLE (confinamiento)</t>
        </is>
      </c>
      <c r="R6" s="5" t="inlineStr">
        <is>
          <t>σc/0.6fck Ecm 1.055 -&gt; confinamiento</t>
        </is>
      </c>
    </row>
    <row r="7">
      <c r="A7" s="5" t="inlineStr">
        <is>
          <t>P3</t>
        </is>
      </c>
      <c r="B7" s="5" t="inlineStr">
        <is>
          <t>pilote</t>
        </is>
      </c>
      <c r="C7" s="5" t="inlineStr">
        <is>
          <t>12Ø25 + 3cØ10 c/150</t>
        </is>
      </c>
      <c r="D7" s="5" t="inlineStr">
        <is>
          <t>12Ø25 + 3cØ10 c/150; c/100 en 0.40 m sup.</t>
        </is>
      </c>
      <c r="E7" s="22" t="n">
        <v>58.905</v>
      </c>
      <c r="F7" s="22" t="n">
        <v>58.905</v>
      </c>
      <c r="G7" s="22" t="n">
        <v>60.215</v>
      </c>
      <c r="H7" s="22" t="n">
        <v>60.215</v>
      </c>
      <c r="I7" s="5" t="inlineStr">
        <is>
          <t>+2.8 kg/pilote (cercos)</t>
        </is>
      </c>
      <c r="J7" s="11" t="n">
        <v>0.98746</v>
      </c>
      <c r="K7" s="7" t="n">
        <v>0.53848</v>
      </c>
      <c r="L7" s="5" t="n"/>
      <c r="M7" s="7" t="n">
        <v>0.92039</v>
      </c>
      <c r="N7" s="7" t="n">
        <v>0.34535</v>
      </c>
      <c r="O7" s="7" t="n">
        <v>0.92292</v>
      </c>
      <c r="P7" s="5" t="n"/>
      <c r="Q7" s="10" t="inlineStr">
        <is>
          <t>CUMPLE (confinamiento)</t>
        </is>
      </c>
      <c r="R7" s="5" t="inlineStr">
        <is>
          <t>σc/0.6fck Ecm 1.010 -&gt; confinamiento</t>
        </is>
      </c>
    </row>
    <row r="8">
      <c r="A8" s="5" t="inlineStr">
        <is>
          <t>P4</t>
        </is>
      </c>
      <c r="B8" s="5" t="inlineStr">
        <is>
          <t>pilote</t>
        </is>
      </c>
      <c r="C8" s="5" t="inlineStr">
        <is>
          <t>12Ø25 + 3cØ10 c/150</t>
        </is>
      </c>
      <c r="D8" s="5" t="inlineStr">
        <is>
          <t>12Ø25 + 3cØ10 c/150; c/100 en 0.40 m sup.</t>
        </is>
      </c>
      <c r="E8" s="22" t="n">
        <v>58.905</v>
      </c>
      <c r="F8" s="22" t="n">
        <v>58.905</v>
      </c>
      <c r="G8" s="22" t="n">
        <v>60.215</v>
      </c>
      <c r="H8" s="22" t="n">
        <v>60.215</v>
      </c>
      <c r="I8" s="5" t="inlineStr">
        <is>
          <t>+2.8 kg/pilote (cercos)</t>
        </is>
      </c>
      <c r="J8" s="7" t="n">
        <v>0.7635999999999999</v>
      </c>
      <c r="K8" s="7" t="n">
        <v>0.73427</v>
      </c>
      <c r="L8" s="5" t="n"/>
      <c r="M8" s="7" t="n">
        <v>0.92039</v>
      </c>
      <c r="N8" s="7" t="n">
        <v>0.3812</v>
      </c>
      <c r="O8" s="7" t="n">
        <v>0.7522799999999999</v>
      </c>
      <c r="P8" s="5" t="n"/>
      <c r="Q8" s="12" t="inlineStr">
        <is>
          <t>CUMPLE</t>
        </is>
      </c>
      <c r="R8" s="5" t="inlineStr"/>
    </row>
    <row r="9">
      <c r="A9" s="5" t="inlineStr">
        <is>
          <t>P5</t>
        </is>
      </c>
      <c r="B9" s="5" t="inlineStr">
        <is>
          <t>pilote</t>
        </is>
      </c>
      <c r="C9" s="5" t="inlineStr">
        <is>
          <t>12Ø25 + 3cØ10 c/150</t>
        </is>
      </c>
      <c r="D9" s="5" t="inlineStr">
        <is>
          <t>12Ø25 + 3cØ10 c/150; c/100 en 0.40 m sup.</t>
        </is>
      </c>
      <c r="E9" s="22" t="n">
        <v>58.905</v>
      </c>
      <c r="F9" s="22" t="n">
        <v>58.905</v>
      </c>
      <c r="G9" s="22" t="n">
        <v>60.215</v>
      </c>
      <c r="H9" s="22" t="n">
        <v>60.215</v>
      </c>
      <c r="I9" s="5" t="inlineStr">
        <is>
          <t>+2.8 kg/pilote (cercos)</t>
        </is>
      </c>
      <c r="J9" s="7" t="n">
        <v>0.91514</v>
      </c>
      <c r="K9" s="7" t="n">
        <v>0.51512</v>
      </c>
      <c r="L9" s="5" t="n"/>
      <c r="M9" s="7" t="n">
        <v>0.92039</v>
      </c>
      <c r="N9" s="7" t="n">
        <v>0.15957</v>
      </c>
      <c r="O9" s="7" t="n">
        <v>0.83614</v>
      </c>
      <c r="P9" s="5" t="n"/>
      <c r="Q9" s="12" t="inlineStr">
        <is>
          <t>CUMPLE</t>
        </is>
      </c>
      <c r="R9" s="5" t="inlineStr"/>
    </row>
    <row r="10">
      <c r="A10" s="5" t="inlineStr">
        <is>
          <t>P6</t>
        </is>
      </c>
      <c r="B10" s="5" t="inlineStr">
        <is>
          <t>pilote</t>
        </is>
      </c>
      <c r="C10" s="5" t="inlineStr">
        <is>
          <t>12Ø25 + 3cØ10 c/150</t>
        </is>
      </c>
      <c r="D10" s="5" t="inlineStr">
        <is>
          <t>12Ø25 + 3cØ10 c/150; c/100 en 0.40 m sup.</t>
        </is>
      </c>
      <c r="E10" s="22" t="n">
        <v>58.905</v>
      </c>
      <c r="F10" s="22" t="n">
        <v>58.905</v>
      </c>
      <c r="G10" s="22" t="n">
        <v>60.215</v>
      </c>
      <c r="H10" s="22" t="n">
        <v>60.215</v>
      </c>
      <c r="I10" s="5" t="inlineStr">
        <is>
          <t>+2.8 kg/pilote (cercos)</t>
        </is>
      </c>
      <c r="J10" s="7" t="n">
        <v>0.7628200000000001</v>
      </c>
      <c r="K10" s="7" t="n">
        <v>0.745</v>
      </c>
      <c r="L10" s="5" t="n"/>
      <c r="M10" s="7" t="n">
        <v>0.92039</v>
      </c>
      <c r="N10" s="7" t="n">
        <v>0.19446</v>
      </c>
      <c r="O10" s="7" t="n">
        <v>0.75288</v>
      </c>
      <c r="P10" s="5" t="n"/>
      <c r="Q10" s="12" t="inlineStr">
        <is>
          <t>CUMPLE</t>
        </is>
      </c>
      <c r="R10" s="5" t="inlineStr"/>
    </row>
    <row r="11">
      <c r="A11" s="5" t="inlineStr">
        <is>
          <t>P7</t>
        </is>
      </c>
      <c r="B11" s="5" t="inlineStr">
        <is>
          <t>pilote</t>
        </is>
      </c>
      <c r="C11" s="5" t="inlineStr">
        <is>
          <t>12Ø25 + 3cØ10 c/150</t>
        </is>
      </c>
      <c r="D11" s="5" t="inlineStr">
        <is>
          <t>12Ø25 + 3cØ10 c/150; c/100 en 0.40 m sup.</t>
        </is>
      </c>
      <c r="E11" s="22" t="n">
        <v>58.905</v>
      </c>
      <c r="F11" s="22" t="n">
        <v>58.905</v>
      </c>
      <c r="G11" s="22" t="n">
        <v>60.215</v>
      </c>
      <c r="H11" s="22" t="n">
        <v>60.215</v>
      </c>
      <c r="I11" s="5" t="inlineStr">
        <is>
          <t>+2.8 kg/pilote (cercos)</t>
        </is>
      </c>
      <c r="J11" s="7" t="n">
        <v>0.92353</v>
      </c>
      <c r="K11" s="7" t="n">
        <v>0.52412</v>
      </c>
      <c r="L11" s="5" t="n"/>
      <c r="M11" s="7" t="n">
        <v>0.92039</v>
      </c>
      <c r="N11" s="7" t="n">
        <v>0.11867</v>
      </c>
      <c r="O11" s="7" t="n">
        <v>0.83695</v>
      </c>
      <c r="P11" s="5" t="n"/>
      <c r="Q11" s="12" t="inlineStr">
        <is>
          <t>CUMPLE</t>
        </is>
      </c>
      <c r="R11" s="5" t="inlineStr"/>
    </row>
    <row r="12">
      <c r="A12" s="5" t="inlineStr">
        <is>
          <t>P8</t>
        </is>
      </c>
      <c r="B12" s="5" t="inlineStr">
        <is>
          <t>pilote</t>
        </is>
      </c>
      <c r="C12" s="5" t="inlineStr">
        <is>
          <t>12Ø25 + 3cØ10 c/150</t>
        </is>
      </c>
      <c r="D12" s="5" t="inlineStr">
        <is>
          <t>12Ø25 + 3cØ10 c/150; c/100 en 0.40 m sup.</t>
        </is>
      </c>
      <c r="E12" s="22" t="n">
        <v>58.905</v>
      </c>
      <c r="F12" s="22" t="n">
        <v>58.905</v>
      </c>
      <c r="G12" s="22" t="n">
        <v>60.215</v>
      </c>
      <c r="H12" s="22" t="n">
        <v>60.215</v>
      </c>
      <c r="I12" s="5" t="inlineStr">
        <is>
          <t>+2.8 kg/pilote (cercos)</t>
        </is>
      </c>
      <c r="J12" s="7" t="n">
        <v>0.73943</v>
      </c>
      <c r="K12" s="7" t="n">
        <v>0.71089</v>
      </c>
      <c r="L12" s="5" t="n"/>
      <c r="M12" s="7" t="n">
        <v>0.92039</v>
      </c>
      <c r="N12" s="7" t="n">
        <v>0.15613</v>
      </c>
      <c r="O12" s="7" t="n">
        <v>0.73041</v>
      </c>
      <c r="P12" s="5" t="n"/>
      <c r="Q12" s="12" t="inlineStr">
        <is>
          <t>CUMPLE</t>
        </is>
      </c>
      <c r="R12" s="5" t="inlineStr"/>
    </row>
    <row r="13">
      <c r="A13" s="5" t="inlineStr">
        <is>
          <t>P13</t>
        </is>
      </c>
      <c r="B13" s="5" t="inlineStr">
        <is>
          <t>pilote</t>
        </is>
      </c>
      <c r="C13" s="5" t="inlineStr">
        <is>
          <t>12Ø25 + 3cØ10 c/150</t>
        </is>
      </c>
      <c r="D13" s="5" t="inlineStr">
        <is>
          <t>12Ø25 + 3cØ10 c/150; c/100 en 0.40 m sup.</t>
        </is>
      </c>
      <c r="E13" s="22" t="n">
        <v>58.905</v>
      </c>
      <c r="F13" s="22" t="n">
        <v>58.905</v>
      </c>
      <c r="G13" s="22" t="n">
        <v>60.215</v>
      </c>
      <c r="H13" s="22" t="n">
        <v>60.215</v>
      </c>
      <c r="I13" s="5" t="inlineStr">
        <is>
          <t>+2.8 kg/pilote (cercos)</t>
        </is>
      </c>
      <c r="J13" s="7" t="n">
        <v>0.89266</v>
      </c>
      <c r="K13" s="7" t="n">
        <v>0.49914</v>
      </c>
      <c r="L13" s="5" t="n"/>
      <c r="M13" s="7" t="n">
        <v>0.92039</v>
      </c>
      <c r="N13" s="7" t="n">
        <v>0.15957</v>
      </c>
      <c r="O13" s="7" t="n">
        <v>0.81582</v>
      </c>
      <c r="P13" s="5" t="n"/>
      <c r="Q13" s="12" t="inlineStr">
        <is>
          <t>CUMPLE</t>
        </is>
      </c>
      <c r="R13" s="5" t="inlineStr"/>
    </row>
    <row r="14">
      <c r="A14" s="5" t="inlineStr">
        <is>
          <t>P14</t>
        </is>
      </c>
      <c r="B14" s="5" t="inlineStr">
        <is>
          <t>pilote</t>
        </is>
      </c>
      <c r="C14" s="5" t="inlineStr">
        <is>
          <t>12Ø25 + 3cØ10 c/150</t>
        </is>
      </c>
      <c r="D14" s="5" t="inlineStr">
        <is>
          <t>12Ø25 + 3cØ10 c/150; c/100 en 0.40 m sup.</t>
        </is>
      </c>
      <c r="E14" s="22" t="n">
        <v>58.905</v>
      </c>
      <c r="F14" s="22" t="n">
        <v>58.905</v>
      </c>
      <c r="G14" s="22" t="n">
        <v>60.215</v>
      </c>
      <c r="H14" s="22" t="n">
        <v>60.215</v>
      </c>
      <c r="I14" s="5" t="inlineStr">
        <is>
          <t>+2.8 kg/pilote (cercos)</t>
        </is>
      </c>
      <c r="J14" s="7" t="n">
        <v>0.73497</v>
      </c>
      <c r="K14" s="7" t="n">
        <v>0.7143699999999999</v>
      </c>
      <c r="L14" s="5" t="n"/>
      <c r="M14" s="7" t="n">
        <v>0.92039</v>
      </c>
      <c r="N14" s="7" t="n">
        <v>0.19446</v>
      </c>
      <c r="O14" s="7" t="n">
        <v>0.72033</v>
      </c>
      <c r="P14" s="5" t="n"/>
      <c r="Q14" s="12" t="inlineStr">
        <is>
          <t>CUMPLE</t>
        </is>
      </c>
      <c r="R14" s="5" t="inlineStr"/>
    </row>
    <row r="15">
      <c r="A15" s="5" t="inlineStr">
        <is>
          <t>P15</t>
        </is>
      </c>
      <c r="B15" s="5" t="inlineStr">
        <is>
          <t>pilote</t>
        </is>
      </c>
      <c r="C15" s="5" t="inlineStr">
        <is>
          <t>12Ø25 + 3cØ10 c/150</t>
        </is>
      </c>
      <c r="D15" s="5" t="inlineStr">
        <is>
          <t>12Ø25 + 3cØ10 c/150; c/100 en 0.40 m sup.</t>
        </is>
      </c>
      <c r="E15" s="22" t="n">
        <v>58.905</v>
      </c>
      <c r="F15" s="22" t="n">
        <v>58.905</v>
      </c>
      <c r="G15" s="22" t="n">
        <v>60.215</v>
      </c>
      <c r="H15" s="22" t="n">
        <v>60.215</v>
      </c>
      <c r="I15" s="5" t="inlineStr">
        <is>
          <t>+2.8 kg/pilote (cercos)</t>
        </is>
      </c>
      <c r="J15" s="7" t="n">
        <v>0.93665</v>
      </c>
      <c r="K15" s="7" t="n">
        <v>0.50646</v>
      </c>
      <c r="L15" s="5" t="n"/>
      <c r="M15" s="7" t="n">
        <v>0.92039</v>
      </c>
      <c r="N15" s="7" t="n">
        <v>0.34535</v>
      </c>
      <c r="O15" s="7" t="n">
        <v>0.86173</v>
      </c>
      <c r="P15" s="5" t="n"/>
      <c r="Q15" s="12" t="inlineStr">
        <is>
          <t>CUMPLE</t>
        </is>
      </c>
      <c r="R15" s="5" t="inlineStr"/>
    </row>
    <row r="16">
      <c r="A16" s="5" t="inlineStr">
        <is>
          <t>P16</t>
        </is>
      </c>
      <c r="B16" s="5" t="inlineStr">
        <is>
          <t>pilote</t>
        </is>
      </c>
      <c r="C16" s="5" t="inlineStr">
        <is>
          <t>12Ø25 + 3cØ10 c/150</t>
        </is>
      </c>
      <c r="D16" s="5" t="inlineStr">
        <is>
          <t>12Ø25 + 3cØ10 c/150; c/100 en 0.40 m sup.</t>
        </is>
      </c>
      <c r="E16" s="22" t="n">
        <v>58.905</v>
      </c>
      <c r="F16" s="22" t="n">
        <v>58.905</v>
      </c>
      <c r="G16" s="22" t="n">
        <v>60.215</v>
      </c>
      <c r="H16" s="22" t="n">
        <v>60.215</v>
      </c>
      <c r="I16" s="5" t="inlineStr">
        <is>
          <t>+2.8 kg/pilote (cercos)</t>
        </is>
      </c>
      <c r="J16" s="7" t="n">
        <v>0.84282</v>
      </c>
      <c r="K16" s="7" t="n">
        <v>0.51934</v>
      </c>
      <c r="L16" s="5" t="n"/>
      <c r="M16" s="7" t="n">
        <v>0.92039</v>
      </c>
      <c r="N16" s="7" t="n">
        <v>0.75509</v>
      </c>
      <c r="O16" s="7" t="n">
        <v>0.88954</v>
      </c>
      <c r="P16" s="5" t="n"/>
      <c r="Q16" s="10" t="inlineStr">
        <is>
          <t>CUMPLE (confinamiento)</t>
        </is>
      </c>
      <c r="R16" s="5" t="inlineStr">
        <is>
          <t>σc/0.6fck Ecm 1.034 -&gt; confinamiento</t>
        </is>
      </c>
    </row>
    <row r="17">
      <c r="A17" s="5" t="inlineStr">
        <is>
          <t>P17</t>
        </is>
      </c>
      <c r="B17" s="5" t="inlineStr">
        <is>
          <t>pilote</t>
        </is>
      </c>
      <c r="C17" s="5" t="inlineStr">
        <is>
          <t>12Ø25 + 3cØ10 c/150</t>
        </is>
      </c>
      <c r="D17" s="5" t="inlineStr">
        <is>
          <t>12Ø25 + 3cØ10 c/150; c/100 en 0.40 m sup.</t>
        </is>
      </c>
      <c r="E17" s="22" t="n">
        <v>58.905</v>
      </c>
      <c r="F17" s="22" t="n">
        <v>58.905</v>
      </c>
      <c r="G17" s="22" t="n">
        <v>60.215</v>
      </c>
      <c r="H17" s="22" t="n">
        <v>60.215</v>
      </c>
      <c r="I17" s="5" t="inlineStr">
        <is>
          <t>+2.8 kg/pilote (cercos)</t>
        </is>
      </c>
      <c r="J17" s="7" t="n">
        <v>0.71003</v>
      </c>
      <c r="K17" s="7" t="n">
        <v>0.67477</v>
      </c>
      <c r="L17" s="5" t="n"/>
      <c r="M17" s="7" t="n">
        <v>0.92039</v>
      </c>
      <c r="N17" s="7" t="n">
        <v>0.3812</v>
      </c>
      <c r="O17" s="7" t="n">
        <v>0.7056</v>
      </c>
      <c r="P17" s="5" t="n"/>
      <c r="Q17" s="12" t="inlineStr">
        <is>
          <t>CUMPLE</t>
        </is>
      </c>
      <c r="R17" s="5" t="inlineStr"/>
    </row>
    <row r="18">
      <c r="A18" s="5" t="inlineStr">
        <is>
          <t>P18</t>
        </is>
      </c>
      <c r="B18" s="5" t="inlineStr">
        <is>
          <t>pilote</t>
        </is>
      </c>
      <c r="C18" s="5" t="inlineStr">
        <is>
          <t>12Ø25 + 3cØ10 c/150</t>
        </is>
      </c>
      <c r="D18" s="5" t="inlineStr">
        <is>
          <t>12Ø25 + 3cØ10 c/150; c/100 en 0.40 m sup.</t>
        </is>
      </c>
      <c r="E18" s="22" t="n">
        <v>58.905</v>
      </c>
      <c r="F18" s="22" t="n">
        <v>58.905</v>
      </c>
      <c r="G18" s="22" t="n">
        <v>60.215</v>
      </c>
      <c r="H18" s="22" t="n">
        <v>60.215</v>
      </c>
      <c r="I18" s="5" t="inlineStr">
        <is>
          <t>+2.8 kg/pilote (cercos)</t>
        </is>
      </c>
      <c r="J18" s="7" t="n">
        <v>0.73046</v>
      </c>
      <c r="K18" s="7" t="n">
        <v>0.71863</v>
      </c>
      <c r="L18" s="5" t="n"/>
      <c r="M18" s="7" t="n">
        <v>0.92039</v>
      </c>
      <c r="N18" s="7" t="n">
        <v>0.76431</v>
      </c>
      <c r="O18" s="7" t="n">
        <v>0.80537</v>
      </c>
      <c r="P18" s="5" t="n"/>
      <c r="Q18" s="12" t="inlineStr">
        <is>
          <t>CUMPLE</t>
        </is>
      </c>
      <c r="R18" s="5" t="inlineStr"/>
    </row>
    <row r="19">
      <c r="A19" s="5" t="inlineStr">
        <is>
          <t>VT1</t>
        </is>
      </c>
      <c r="B19" s="5" t="inlineStr">
        <is>
          <t>sup.</t>
        </is>
      </c>
      <c r="C19" s="5" t="inlineStr">
        <is>
          <t>5Ø20</t>
        </is>
      </c>
      <c r="D19" s="5" t="inlineStr">
        <is>
          <t>5Ø20</t>
        </is>
      </c>
      <c r="E19" s="22" t="n">
        <v>15.71</v>
      </c>
      <c r="F19" s="22" t="n">
        <v>15.71</v>
      </c>
      <c r="G19" s="22" t="n">
        <v>30.83</v>
      </c>
      <c r="H19" s="22" t="n">
        <v>30.83</v>
      </c>
      <c r="I19" s="5" t="inlineStr">
        <is>
          <t>sin cambio</t>
        </is>
      </c>
      <c r="J19" s="7" t="n">
        <v>0.8725000000000001</v>
      </c>
      <c r="K19" s="7" t="n">
        <v>0.478</v>
      </c>
      <c r="L19" s="11" t="n">
        <v>0.9727</v>
      </c>
      <c r="M19" s="11" t="n">
        <v>0.9583</v>
      </c>
      <c r="N19" s="7" t="n">
        <v>0</v>
      </c>
      <c r="O19" s="7" t="n">
        <v>0.7146</v>
      </c>
      <c r="P19" s="7" t="n">
        <v>0.0689</v>
      </c>
      <c r="Q19" s="12" t="inlineStr">
        <is>
          <t>CUMPLE</t>
        </is>
      </c>
      <c r="R19" s="5" t="inlineStr">
        <is>
          <t>torsión ala [sensib.] 1.185; fisuración TB 0.5 [sensib.] 0.000</t>
        </is>
      </c>
    </row>
    <row r="20">
      <c r="A20" s="5" t="inlineStr">
        <is>
          <t>VT1</t>
        </is>
      </c>
      <c r="B20" s="5" t="inlineStr">
        <is>
          <t>inf.</t>
        </is>
      </c>
      <c r="C20" s="5" t="inlineStr">
        <is>
          <t>6Ø20</t>
        </is>
      </c>
      <c r="D20" s="5" t="inlineStr">
        <is>
          <t>6Ø20</t>
        </is>
      </c>
      <c r="E20" s="22" t="n">
        <v>18.85</v>
      </c>
      <c r="F20" s="22" t="n">
        <v>18.85</v>
      </c>
      <c r="G20" s="5" t="n"/>
      <c r="H20" s="5" t="n"/>
      <c r="I20" s="5" t="inlineStr">
        <is>
          <t>sin cambio</t>
        </is>
      </c>
      <c r="J20" s="7" t="n">
        <v>0.8725000000000001</v>
      </c>
      <c r="K20" s="7" t="n">
        <v>0.478</v>
      </c>
      <c r="L20" s="11" t="n">
        <v>0.9727</v>
      </c>
      <c r="M20" s="11" t="n">
        <v>0.9583</v>
      </c>
      <c r="N20" s="7" t="n">
        <v>0</v>
      </c>
      <c r="O20" s="7" t="n">
        <v>0.7146</v>
      </c>
      <c r="P20" s="7" t="n">
        <v>0.0689</v>
      </c>
      <c r="Q20" s="12" t="inlineStr">
        <is>
          <t>CUMPLE</t>
        </is>
      </c>
      <c r="R20" s="5" t="inlineStr">
        <is>
          <t>torsión ala [sensib.] 1.185; fisuración TB 0.5 [sensib.] 0.000</t>
        </is>
      </c>
    </row>
    <row r="21">
      <c r="A21" s="5" t="inlineStr">
        <is>
          <t>VT1</t>
        </is>
      </c>
      <c r="B21" s="5" t="inlineStr">
        <is>
          <t>estribos</t>
        </is>
      </c>
      <c r="C21" s="5" t="inlineStr">
        <is>
          <t>3 ramas Ø10/100 (1e+1r)</t>
        </is>
      </c>
      <c r="D21" s="5" t="inlineStr">
        <is>
          <t>3 ramas Ø10/100 (1e+1r)</t>
        </is>
      </c>
      <c r="E21" s="5" t="n"/>
      <c r="F21" s="5" t="n"/>
      <c r="G21" s="22" t="n">
        <v>19.11</v>
      </c>
      <c r="H21" s="22" t="n">
        <v>19.11</v>
      </c>
      <c r="I21" s="5" t="inlineStr">
        <is>
          <t>sin cambio</t>
        </is>
      </c>
      <c r="J21" s="5" t="n"/>
      <c r="K21" s="11" t="n">
        <v>0.958</v>
      </c>
      <c r="L21" s="5" t="n"/>
      <c r="M21" s="5" t="n"/>
      <c r="N21" s="5" t="n"/>
      <c r="O21" s="5" t="n"/>
      <c r="P21" s="5" t="n"/>
      <c r="Q21" s="5" t="inlineStr"/>
      <c r="R21" s="5" t="inlineStr"/>
    </row>
    <row r="22">
      <c r="A22" s="5" t="inlineStr">
        <is>
          <t>VT2</t>
        </is>
      </c>
      <c r="B22" s="5" t="inlineStr">
        <is>
          <t>sup.</t>
        </is>
      </c>
      <c r="C22" s="5" t="inlineStr">
        <is>
          <t>5Ø20</t>
        </is>
      </c>
      <c r="D22" s="5" t="inlineStr">
        <is>
          <t>5Ø20</t>
        </is>
      </c>
      <c r="E22" s="22" t="n">
        <v>15.71</v>
      </c>
      <c r="F22" s="22" t="n">
        <v>15.71</v>
      </c>
      <c r="G22" s="22" t="n">
        <v>32.06</v>
      </c>
      <c r="H22" s="22" t="n">
        <v>40.84</v>
      </c>
      <c r="I22" s="5" t="inlineStr">
        <is>
          <t>sin cambio</t>
        </is>
      </c>
      <c r="J22" s="7" t="n">
        <v>0.7695</v>
      </c>
      <c r="K22" s="7" t="n">
        <v>0.717</v>
      </c>
      <c r="L22" s="5" t="n"/>
      <c r="M22" s="7" t="n">
        <v>0.7955</v>
      </c>
      <c r="N22" s="11" t="n">
        <v>0.9618</v>
      </c>
      <c r="O22" s="7" t="n">
        <v>0.6096</v>
      </c>
      <c r="P22" s="7" t="n">
        <v>0.1688</v>
      </c>
      <c r="Q22" s="12" t="inlineStr">
        <is>
          <t>CUMPLE</t>
        </is>
      </c>
      <c r="R22" s="5" t="inlineStr">
        <is>
          <t>torsión [info] 0.832; fisuración TB 0.5 [sensib.] 1.039</t>
        </is>
      </c>
    </row>
    <row r="23">
      <c r="A23" s="5" t="inlineStr">
        <is>
          <t>VT2</t>
        </is>
      </c>
      <c r="B23" s="5" t="inlineStr">
        <is>
          <t>inf.</t>
        </is>
      </c>
      <c r="C23" s="5" t="inlineStr">
        <is>
          <t>7Ø20</t>
        </is>
      </c>
      <c r="D23" s="25" t="inlineStr">
        <is>
          <t>8Ø20 alma + 4Ø16 alas</t>
        </is>
      </c>
      <c r="E23" s="22" t="n">
        <v>21.99</v>
      </c>
      <c r="F23" s="22" t="n">
        <v>33.18</v>
      </c>
      <c r="G23" s="5" t="n"/>
      <c r="H23" s="5" t="n"/>
      <c r="I23" s="10" t="inlineStr">
        <is>
          <t>CAMBIO</t>
        </is>
      </c>
      <c r="J23" s="7" t="n">
        <v>0.7695</v>
      </c>
      <c r="K23" s="7" t="n">
        <v>0.717</v>
      </c>
      <c r="L23" s="5" t="n"/>
      <c r="M23" s="7" t="n">
        <v>0.7955</v>
      </c>
      <c r="N23" s="11" t="n">
        <v>0.9618</v>
      </c>
      <c r="O23" s="7" t="n">
        <v>0.6096</v>
      </c>
      <c r="P23" s="7" t="n">
        <v>0.1688</v>
      </c>
      <c r="Q23" s="12" t="inlineStr">
        <is>
          <t>CUMPLE</t>
        </is>
      </c>
      <c r="R23" s="5" t="inlineStr">
        <is>
          <t>torsión [info] 0.832; fisuración TB 0.5 [sensib.] 1.039</t>
        </is>
      </c>
    </row>
    <row r="24">
      <c r="A24" s="5" t="inlineStr">
        <is>
          <t>VT2</t>
        </is>
      </c>
      <c r="B24" s="5" t="inlineStr">
        <is>
          <t>estribos</t>
        </is>
      </c>
      <c r="C24" s="5" t="inlineStr">
        <is>
          <t>3 ramas Ø10/100 (1e+1r)</t>
        </is>
      </c>
      <c r="D24" s="5" t="inlineStr">
        <is>
          <t>3 ramas Ø10/100 (1e+1r)</t>
        </is>
      </c>
      <c r="E24" s="5" t="n"/>
      <c r="F24" s="5" t="n"/>
      <c r="G24" s="22" t="n">
        <v>15.41</v>
      </c>
      <c r="H24" s="22" t="n">
        <v>15.41</v>
      </c>
      <c r="I24" s="5" t="inlineStr">
        <is>
          <t>sin cambio</t>
        </is>
      </c>
      <c r="J24" s="5" t="n"/>
      <c r="K24" s="7" t="n">
        <v>0.717</v>
      </c>
      <c r="L24" s="5" t="n"/>
      <c r="M24" s="5" t="n"/>
      <c r="N24" s="5" t="n"/>
      <c r="O24" s="5" t="n"/>
      <c r="P24" s="5" t="n"/>
      <c r="Q24" s="5" t="inlineStr"/>
      <c r="R24" s="5" t="inlineStr"/>
    </row>
    <row r="25">
      <c r="A25" s="5" t="inlineStr">
        <is>
          <t>VT3</t>
        </is>
      </c>
      <c r="B25" s="5" t="inlineStr">
        <is>
          <t>sup.</t>
        </is>
      </c>
      <c r="C25" s="5" t="inlineStr">
        <is>
          <t>5Ø20</t>
        </is>
      </c>
      <c r="D25" s="5" t="inlineStr">
        <is>
          <t>5Ø20</t>
        </is>
      </c>
      <c r="E25" s="22" t="n">
        <v>15.71</v>
      </c>
      <c r="F25" s="22" t="n">
        <v>15.71</v>
      </c>
      <c r="G25" s="22" t="n">
        <v>32.06</v>
      </c>
      <c r="H25" s="22" t="n">
        <v>40.84</v>
      </c>
      <c r="I25" s="5" t="inlineStr">
        <is>
          <t>sin cambio</t>
        </is>
      </c>
      <c r="J25" s="7" t="n">
        <v>0.8784</v>
      </c>
      <c r="K25" s="7" t="n">
        <v>0.7</v>
      </c>
      <c r="L25" s="5" t="n"/>
      <c r="M25" s="7" t="n">
        <v>0.7955</v>
      </c>
      <c r="N25" s="7" t="n">
        <v>0.8665</v>
      </c>
      <c r="O25" s="7" t="n">
        <v>0.6967</v>
      </c>
      <c r="P25" s="7" t="n">
        <v>0.152</v>
      </c>
      <c r="Q25" s="12" t="inlineStr">
        <is>
          <t>CUMPLE</t>
        </is>
      </c>
      <c r="R25" s="5" t="inlineStr">
        <is>
          <t>torsión [info] 0.883; fisuración TB 0.5 [sensib.] 1.565</t>
        </is>
      </c>
    </row>
    <row r="26">
      <c r="A26" s="5" t="inlineStr">
        <is>
          <t>VT3</t>
        </is>
      </c>
      <c r="B26" s="5" t="inlineStr">
        <is>
          <t>inf.</t>
        </is>
      </c>
      <c r="C26" s="5" t="inlineStr">
        <is>
          <t>7Ø20</t>
        </is>
      </c>
      <c r="D26" s="25" t="inlineStr">
        <is>
          <t>8Ø20 alma + 4Ø16 alas</t>
        </is>
      </c>
      <c r="E26" s="22" t="n">
        <v>21.99</v>
      </c>
      <c r="F26" s="22" t="n">
        <v>33.18</v>
      </c>
      <c r="G26" s="5" t="n"/>
      <c r="H26" s="5" t="n"/>
      <c r="I26" s="10" t="inlineStr">
        <is>
          <t>CAMBIO</t>
        </is>
      </c>
      <c r="J26" s="7" t="n">
        <v>0.8784</v>
      </c>
      <c r="K26" s="7" t="n">
        <v>0.7</v>
      </c>
      <c r="L26" s="5" t="n"/>
      <c r="M26" s="7" t="n">
        <v>0.7955</v>
      </c>
      <c r="N26" s="7" t="n">
        <v>0.8665</v>
      </c>
      <c r="O26" s="7" t="n">
        <v>0.6967</v>
      </c>
      <c r="P26" s="7" t="n">
        <v>0.152</v>
      </c>
      <c r="Q26" s="12" t="inlineStr">
        <is>
          <t>CUMPLE</t>
        </is>
      </c>
      <c r="R26" s="5" t="inlineStr">
        <is>
          <t>torsión [info] 0.883; fisuración TB 0.5 [sensib.] 1.565</t>
        </is>
      </c>
    </row>
    <row r="27">
      <c r="A27" s="5" t="inlineStr">
        <is>
          <t>VT3</t>
        </is>
      </c>
      <c r="B27" s="5" t="inlineStr">
        <is>
          <t>estribos</t>
        </is>
      </c>
      <c r="C27" s="5" t="inlineStr">
        <is>
          <t>3 ramas Ø10/100 (1e+1r)</t>
        </is>
      </c>
      <c r="D27" s="5" t="inlineStr">
        <is>
          <t>3 ramas Ø10/100 (1e+1r)</t>
        </is>
      </c>
      <c r="E27" s="5" t="n"/>
      <c r="F27" s="5" t="n"/>
      <c r="G27" s="22" t="n">
        <v>15.41</v>
      </c>
      <c r="H27" s="22" t="n">
        <v>15.41</v>
      </c>
      <c r="I27" s="5" t="inlineStr">
        <is>
          <t>sin cambio</t>
        </is>
      </c>
      <c r="J27" s="5" t="n"/>
      <c r="K27" s="7" t="n">
        <v>0.717</v>
      </c>
      <c r="L27" s="5" t="n"/>
      <c r="M27" s="5" t="n"/>
      <c r="N27" s="5" t="n"/>
      <c r="O27" s="5" t="n"/>
      <c r="P27" s="5" t="n"/>
      <c r="Q27" s="5" t="inlineStr"/>
      <c r="R27" s="5" t="inlineStr"/>
    </row>
    <row r="28">
      <c r="A28" s="5" t="inlineStr">
        <is>
          <t>VT4</t>
        </is>
      </c>
      <c r="B28" s="5" t="inlineStr">
        <is>
          <t>sup.</t>
        </is>
      </c>
      <c r="C28" s="5" t="inlineStr">
        <is>
          <t>5Ø20</t>
        </is>
      </c>
      <c r="D28" s="5" t="inlineStr">
        <is>
          <t>5Ø20</t>
        </is>
      </c>
      <c r="E28" s="22" t="n">
        <v>15.71</v>
      </c>
      <c r="F28" s="22" t="n">
        <v>15.71</v>
      </c>
      <c r="G28" s="22" t="n">
        <v>32.06</v>
      </c>
      <c r="H28" s="22" t="n">
        <v>40.84</v>
      </c>
      <c r="I28" s="5" t="inlineStr">
        <is>
          <t>sin cambio</t>
        </is>
      </c>
      <c r="J28" s="7" t="n">
        <v>0.7433999999999999</v>
      </c>
      <c r="K28" s="7" t="n">
        <v>0.6840000000000001</v>
      </c>
      <c r="L28" s="5" t="n"/>
      <c r="M28" s="7" t="n">
        <v>0.7955</v>
      </c>
      <c r="N28" s="7" t="n">
        <v>0.8854</v>
      </c>
      <c r="O28" s="7" t="n">
        <v>0.5891</v>
      </c>
      <c r="P28" s="7" t="n">
        <v>0.1553</v>
      </c>
      <c r="Q28" s="12" t="inlineStr">
        <is>
          <t>CUMPLE</t>
        </is>
      </c>
      <c r="R28" s="5" t="inlineStr">
        <is>
          <t>torsión [info] 0.746; fisuración TB 0.5 [sensib.] 0.964</t>
        </is>
      </c>
    </row>
    <row r="29">
      <c r="A29" s="5" t="inlineStr">
        <is>
          <t>VT4</t>
        </is>
      </c>
      <c r="B29" s="5" t="inlineStr">
        <is>
          <t>inf.</t>
        </is>
      </c>
      <c r="C29" s="5" t="inlineStr">
        <is>
          <t>7Ø20</t>
        </is>
      </c>
      <c r="D29" s="25" t="inlineStr">
        <is>
          <t>8Ø20 alma + 4Ø16 alas</t>
        </is>
      </c>
      <c r="E29" s="22" t="n">
        <v>21.99</v>
      </c>
      <c r="F29" s="22" t="n">
        <v>33.18</v>
      </c>
      <c r="G29" s="5" t="n"/>
      <c r="H29" s="5" t="n"/>
      <c r="I29" s="10" t="inlineStr">
        <is>
          <t>CAMBIO</t>
        </is>
      </c>
      <c r="J29" s="7" t="n">
        <v>0.7433999999999999</v>
      </c>
      <c r="K29" s="7" t="n">
        <v>0.6840000000000001</v>
      </c>
      <c r="L29" s="5" t="n"/>
      <c r="M29" s="7" t="n">
        <v>0.7955</v>
      </c>
      <c r="N29" s="7" t="n">
        <v>0.8854</v>
      </c>
      <c r="O29" s="7" t="n">
        <v>0.5891</v>
      </c>
      <c r="P29" s="7" t="n">
        <v>0.1553</v>
      </c>
      <c r="Q29" s="12" t="inlineStr">
        <is>
          <t>CUMPLE</t>
        </is>
      </c>
      <c r="R29" s="5" t="inlineStr">
        <is>
          <t>torsión [info] 0.746; fisuración TB 0.5 [sensib.] 0.964</t>
        </is>
      </c>
    </row>
    <row r="30">
      <c r="A30" s="5" t="inlineStr">
        <is>
          <t>VT4</t>
        </is>
      </c>
      <c r="B30" s="5" t="inlineStr">
        <is>
          <t>estribos</t>
        </is>
      </c>
      <c r="C30" s="5" t="inlineStr">
        <is>
          <t>3 ramas Ø10/100 (1e+1r)</t>
        </is>
      </c>
      <c r="D30" s="5" t="inlineStr">
        <is>
          <t>3 ramas Ø10/100 (1e+1r)</t>
        </is>
      </c>
      <c r="E30" s="5" t="n"/>
      <c r="F30" s="5" t="n"/>
      <c r="G30" s="22" t="n">
        <v>15.41</v>
      </c>
      <c r="H30" s="22" t="n">
        <v>15.41</v>
      </c>
      <c r="I30" s="5" t="inlineStr">
        <is>
          <t>sin cambio</t>
        </is>
      </c>
      <c r="J30" s="5" t="n"/>
      <c r="K30" s="7" t="n">
        <v>0.717</v>
      </c>
      <c r="L30" s="5" t="n"/>
      <c r="M30" s="5" t="n"/>
      <c r="N30" s="5" t="n"/>
      <c r="O30" s="5" t="n"/>
      <c r="P30" s="5" t="n"/>
      <c r="Q30" s="5" t="inlineStr"/>
      <c r="R30" s="5" t="inlineStr"/>
    </row>
    <row r="31">
      <c r="A31" s="5" t="inlineStr">
        <is>
          <t>VT5</t>
        </is>
      </c>
      <c r="B31" s="5" t="inlineStr">
        <is>
          <t>sup.</t>
        </is>
      </c>
      <c r="C31" s="5" t="inlineStr">
        <is>
          <t>5Ø20</t>
        </is>
      </c>
      <c r="D31" s="5" t="inlineStr">
        <is>
          <t>5Ø20</t>
        </is>
      </c>
      <c r="E31" s="22" t="n">
        <v>15.71</v>
      </c>
      <c r="F31" s="22" t="n">
        <v>15.71</v>
      </c>
      <c r="G31" s="22" t="n">
        <v>32.06</v>
      </c>
      <c r="H31" s="22" t="n">
        <v>40.84</v>
      </c>
      <c r="I31" s="5" t="inlineStr">
        <is>
          <t>sin cambio</t>
        </is>
      </c>
      <c r="J31" s="7" t="n">
        <v>0.8528</v>
      </c>
      <c r="K31" s="7" t="n">
        <v>0.6929</v>
      </c>
      <c r="L31" s="5" t="n"/>
      <c r="M31" s="7" t="n">
        <v>0.7955</v>
      </c>
      <c r="N31" s="7" t="n">
        <v>0.8665</v>
      </c>
      <c r="O31" s="7" t="n">
        <v>0.6764</v>
      </c>
      <c r="P31" s="7" t="n">
        <v>0.152</v>
      </c>
      <c r="Q31" s="12" t="inlineStr">
        <is>
          <t>CUMPLE</t>
        </is>
      </c>
      <c r="R31" s="5" t="inlineStr">
        <is>
          <t>torsión [info] 0.863; fisuración TB 0.5 [sensib.] 0.918</t>
        </is>
      </c>
    </row>
    <row r="32">
      <c r="A32" s="5" t="inlineStr">
        <is>
          <t>VT5</t>
        </is>
      </c>
      <c r="B32" s="5" t="inlineStr">
        <is>
          <t>inf.</t>
        </is>
      </c>
      <c r="C32" s="5" t="inlineStr">
        <is>
          <t>7Ø20</t>
        </is>
      </c>
      <c r="D32" s="25" t="inlineStr">
        <is>
          <t>8Ø20 alma + 4Ø16 alas</t>
        </is>
      </c>
      <c r="E32" s="22" t="n">
        <v>21.99</v>
      </c>
      <c r="F32" s="22" t="n">
        <v>33.18</v>
      </c>
      <c r="G32" s="5" t="n"/>
      <c r="H32" s="5" t="n"/>
      <c r="I32" s="10" t="inlineStr">
        <is>
          <t>CAMBIO</t>
        </is>
      </c>
      <c r="J32" s="7" t="n">
        <v>0.8528</v>
      </c>
      <c r="K32" s="7" t="n">
        <v>0.6929</v>
      </c>
      <c r="L32" s="5" t="n"/>
      <c r="M32" s="7" t="n">
        <v>0.7955</v>
      </c>
      <c r="N32" s="7" t="n">
        <v>0.8665</v>
      </c>
      <c r="O32" s="7" t="n">
        <v>0.6764</v>
      </c>
      <c r="P32" s="7" t="n">
        <v>0.152</v>
      </c>
      <c r="Q32" s="12" t="inlineStr">
        <is>
          <t>CUMPLE</t>
        </is>
      </c>
      <c r="R32" s="5" t="inlineStr">
        <is>
          <t>torsión [info] 0.863; fisuración TB 0.5 [sensib.] 0.918</t>
        </is>
      </c>
    </row>
    <row r="33">
      <c r="A33" s="5" t="inlineStr">
        <is>
          <t>VT5</t>
        </is>
      </c>
      <c r="B33" s="5" t="inlineStr">
        <is>
          <t>estribos</t>
        </is>
      </c>
      <c r="C33" s="5" t="inlineStr">
        <is>
          <t>3 ramas Ø10/100 (1e+1r)</t>
        </is>
      </c>
      <c r="D33" s="5" t="inlineStr">
        <is>
          <t>3 ramas Ø10/100 (1e+1r)</t>
        </is>
      </c>
      <c r="E33" s="5" t="n"/>
      <c r="F33" s="5" t="n"/>
      <c r="G33" s="22" t="n">
        <v>15.41</v>
      </c>
      <c r="H33" s="22" t="n">
        <v>15.41</v>
      </c>
      <c r="I33" s="5" t="inlineStr">
        <is>
          <t>sin cambio</t>
        </is>
      </c>
      <c r="J33" s="5" t="n"/>
      <c r="K33" s="7" t="n">
        <v>0.717</v>
      </c>
      <c r="L33" s="5" t="n"/>
      <c r="M33" s="5" t="n"/>
      <c r="N33" s="5" t="n"/>
      <c r="O33" s="5" t="n"/>
      <c r="P33" s="5" t="n"/>
      <c r="Q33" s="5" t="inlineStr"/>
      <c r="R33" s="5" t="inlineStr"/>
    </row>
    <row r="34">
      <c r="A34" s="5" t="inlineStr">
        <is>
          <t>VT6</t>
        </is>
      </c>
      <c r="B34" s="5" t="inlineStr">
        <is>
          <t>sup.</t>
        </is>
      </c>
      <c r="C34" s="5" t="inlineStr">
        <is>
          <t>5Ø20</t>
        </is>
      </c>
      <c r="D34" s="5" t="inlineStr">
        <is>
          <t>5Ø20</t>
        </is>
      </c>
      <c r="E34" s="22" t="n">
        <v>15.71</v>
      </c>
      <c r="F34" s="22" t="n">
        <v>15.71</v>
      </c>
      <c r="G34" s="22" t="n">
        <v>32.06</v>
      </c>
      <c r="H34" s="22" t="n">
        <v>40.84</v>
      </c>
      <c r="I34" s="5" t="inlineStr">
        <is>
          <t>sin cambio</t>
        </is>
      </c>
      <c r="J34" s="7" t="n">
        <v>0.7184</v>
      </c>
      <c r="K34" s="7" t="n">
        <v>0.7027</v>
      </c>
      <c r="L34" s="5" t="n"/>
      <c r="M34" s="7" t="n">
        <v>0.7955</v>
      </c>
      <c r="N34" s="11" t="n">
        <v>0.9618</v>
      </c>
      <c r="O34" s="7" t="n">
        <v>0.5689</v>
      </c>
      <c r="P34" s="7" t="n">
        <v>0.1688</v>
      </c>
      <c r="Q34" s="12" t="inlineStr">
        <is>
          <t>CUMPLE</t>
        </is>
      </c>
      <c r="R34" s="5" t="inlineStr">
        <is>
          <t>torsión [info] 0.775; fisuración TB 0.5 [sensib.] 1.027</t>
        </is>
      </c>
    </row>
    <row r="35">
      <c r="A35" s="5" t="inlineStr">
        <is>
          <t>VT6</t>
        </is>
      </c>
      <c r="B35" s="5" t="inlineStr">
        <is>
          <t>inf.</t>
        </is>
      </c>
      <c r="C35" s="5" t="inlineStr">
        <is>
          <t>7Ø20</t>
        </is>
      </c>
      <c r="D35" s="25" t="inlineStr">
        <is>
          <t>8Ø20 alma + 4Ø16 alas</t>
        </is>
      </c>
      <c r="E35" s="22" t="n">
        <v>21.99</v>
      </c>
      <c r="F35" s="22" t="n">
        <v>33.18</v>
      </c>
      <c r="G35" s="5" t="n"/>
      <c r="H35" s="5" t="n"/>
      <c r="I35" s="10" t="inlineStr">
        <is>
          <t>CAMBIO</t>
        </is>
      </c>
      <c r="J35" s="7" t="n">
        <v>0.7184</v>
      </c>
      <c r="K35" s="7" t="n">
        <v>0.7027</v>
      </c>
      <c r="L35" s="5" t="n"/>
      <c r="M35" s="7" t="n">
        <v>0.7955</v>
      </c>
      <c r="N35" s="11" t="n">
        <v>0.9618</v>
      </c>
      <c r="O35" s="7" t="n">
        <v>0.5689</v>
      </c>
      <c r="P35" s="7" t="n">
        <v>0.1688</v>
      </c>
      <c r="Q35" s="12" t="inlineStr">
        <is>
          <t>CUMPLE</t>
        </is>
      </c>
      <c r="R35" s="5" t="inlineStr">
        <is>
          <t>torsión [info] 0.775; fisuración TB 0.5 [sensib.] 1.027</t>
        </is>
      </c>
    </row>
    <row r="36">
      <c r="A36" s="5" t="inlineStr">
        <is>
          <t>VT6</t>
        </is>
      </c>
      <c r="B36" s="5" t="inlineStr">
        <is>
          <t>estribos</t>
        </is>
      </c>
      <c r="C36" s="5" t="inlineStr">
        <is>
          <t>3 ramas Ø10/100 (1e+1r)</t>
        </is>
      </c>
      <c r="D36" s="5" t="inlineStr">
        <is>
          <t>3 ramas Ø10/100 (1e+1r)</t>
        </is>
      </c>
      <c r="E36" s="5" t="n"/>
      <c r="F36" s="5" t="n"/>
      <c r="G36" s="22" t="n">
        <v>15.41</v>
      </c>
      <c r="H36" s="22" t="n">
        <v>15.41</v>
      </c>
      <c r="I36" s="5" t="inlineStr">
        <is>
          <t>sin cambio</t>
        </is>
      </c>
      <c r="J36" s="5" t="n"/>
      <c r="K36" s="7" t="n">
        <v>0.717</v>
      </c>
      <c r="L36" s="5" t="n"/>
      <c r="M36" s="5" t="n"/>
      <c r="N36" s="5" t="n"/>
      <c r="O36" s="5" t="n"/>
      <c r="P36" s="5" t="n"/>
      <c r="Q36" s="5" t="inlineStr"/>
      <c r="R36" s="5" t="inlineStr"/>
    </row>
    <row r="37">
      <c r="A37" s="5" t="inlineStr">
        <is>
          <t>VT7</t>
        </is>
      </c>
      <c r="B37" s="5" t="inlineStr">
        <is>
          <t>sup.</t>
        </is>
      </c>
      <c r="C37" s="5" t="inlineStr">
        <is>
          <t>5Ø20</t>
        </is>
      </c>
      <c r="D37" s="5" t="inlineStr">
        <is>
          <t>5Ø20</t>
        </is>
      </c>
      <c r="E37" s="22" t="n">
        <v>15.71</v>
      </c>
      <c r="F37" s="22" t="n">
        <v>15.71</v>
      </c>
      <c r="G37" s="22" t="n">
        <v>30.83</v>
      </c>
      <c r="H37" s="22" t="n">
        <v>30.83</v>
      </c>
      <c r="I37" s="5" t="inlineStr">
        <is>
          <t>sin cambio</t>
        </is>
      </c>
      <c r="J37" s="7" t="n">
        <v>0.7982</v>
      </c>
      <c r="K37" s="7" t="n">
        <v>0.4563</v>
      </c>
      <c r="L37" s="7" t="n">
        <v>0.9056999999999999</v>
      </c>
      <c r="M37" s="11" t="n">
        <v>0.9583</v>
      </c>
      <c r="N37" s="7" t="n">
        <v>0</v>
      </c>
      <c r="O37" s="7" t="n">
        <v>0.6536999999999999</v>
      </c>
      <c r="P37" s="7" t="n">
        <v>0.0689</v>
      </c>
      <c r="Q37" s="12" t="inlineStr">
        <is>
          <t>CUMPLE</t>
        </is>
      </c>
      <c r="R37" s="5" t="inlineStr">
        <is>
          <t>torsión ala [sensib.] 1.118; fisuración TB 0.5 [sensib.] 0.000</t>
        </is>
      </c>
    </row>
    <row r="38">
      <c r="A38" s="5" t="inlineStr">
        <is>
          <t>VT7</t>
        </is>
      </c>
      <c r="B38" s="5" t="inlineStr">
        <is>
          <t>inf.</t>
        </is>
      </c>
      <c r="C38" s="5" t="inlineStr">
        <is>
          <t>6Ø20</t>
        </is>
      </c>
      <c r="D38" s="5" t="inlineStr">
        <is>
          <t>6Ø20</t>
        </is>
      </c>
      <c r="E38" s="22" t="n">
        <v>18.85</v>
      </c>
      <c r="F38" s="22" t="n">
        <v>18.85</v>
      </c>
      <c r="G38" s="5" t="n"/>
      <c r="H38" s="5" t="n"/>
      <c r="I38" s="5" t="inlineStr">
        <is>
          <t>sin cambio</t>
        </is>
      </c>
      <c r="J38" s="7" t="n">
        <v>0.7982</v>
      </c>
      <c r="K38" s="7" t="n">
        <v>0.4563</v>
      </c>
      <c r="L38" s="7" t="n">
        <v>0.9056999999999999</v>
      </c>
      <c r="M38" s="11" t="n">
        <v>0.9583</v>
      </c>
      <c r="N38" s="7" t="n">
        <v>0</v>
      </c>
      <c r="O38" s="7" t="n">
        <v>0.6536999999999999</v>
      </c>
      <c r="P38" s="7" t="n">
        <v>0.0689</v>
      </c>
      <c r="Q38" s="12" t="inlineStr">
        <is>
          <t>CUMPLE</t>
        </is>
      </c>
      <c r="R38" s="5" t="inlineStr">
        <is>
          <t>torsión ala [sensib.] 1.118; fisuración TB 0.5 [sensib.] 0.000</t>
        </is>
      </c>
    </row>
    <row r="39">
      <c r="A39" s="5" t="inlineStr">
        <is>
          <t>VT7</t>
        </is>
      </c>
      <c r="B39" s="5" t="inlineStr">
        <is>
          <t>estribos</t>
        </is>
      </c>
      <c r="C39" s="5" t="inlineStr">
        <is>
          <t>3 ramas Ø10/100 (1e+1r)</t>
        </is>
      </c>
      <c r="D39" s="5" t="inlineStr">
        <is>
          <t>3 ramas Ø10/100 (1e+1r)</t>
        </is>
      </c>
      <c r="E39" s="5" t="n"/>
      <c r="F39" s="5" t="n"/>
      <c r="G39" s="22" t="n">
        <v>19.11</v>
      </c>
      <c r="H39" s="22" t="n">
        <v>19.11</v>
      </c>
      <c r="I39" s="5" t="inlineStr">
        <is>
          <t>sin cambio</t>
        </is>
      </c>
      <c r="J39" s="5" t="n"/>
      <c r="K39" s="11" t="n">
        <v>0.958</v>
      </c>
      <c r="L39" s="5" t="n"/>
      <c r="M39" s="5" t="n"/>
      <c r="N39" s="5" t="n"/>
      <c r="O39" s="5" t="n"/>
      <c r="P39" s="5" t="n"/>
      <c r="Q39" s="5" t="inlineStr"/>
      <c r="R39" s="5" t="inlineStr"/>
    </row>
    <row r="40">
      <c r="A40" s="5" t="inlineStr">
        <is>
          <t>VBM</t>
        </is>
      </c>
      <c r="B40" s="5" t="inlineStr">
        <is>
          <t>sup.</t>
        </is>
      </c>
      <c r="C40" s="5" t="inlineStr">
        <is>
          <t>2Ø16</t>
        </is>
      </c>
      <c r="D40" s="25" t="inlineStr">
        <is>
          <t>3Ø25 (sobre apoyos)</t>
        </is>
      </c>
      <c r="E40" s="22" t="n">
        <v>4.02</v>
      </c>
      <c r="F40" s="22" t="n">
        <v>14.73</v>
      </c>
      <c r="G40" s="22" t="n">
        <v>6.31</v>
      </c>
      <c r="H40" s="22" t="n">
        <v>14.72</v>
      </c>
      <c r="I40" s="10" t="inlineStr">
        <is>
          <t>CAMBIO</t>
        </is>
      </c>
      <c r="J40" s="7" t="n">
        <v>0.444</v>
      </c>
      <c r="K40" s="7" t="n">
        <v>0.5328000000000001</v>
      </c>
      <c r="L40" s="5" t="n"/>
      <c r="M40" s="7" t="n">
        <v>0.8715000000000001</v>
      </c>
      <c r="N40" s="7" t="n">
        <v>0.6663</v>
      </c>
      <c r="O40" s="7" t="n">
        <v>0.4852</v>
      </c>
      <c r="P40" s="7" t="n">
        <v>0.2854</v>
      </c>
      <c r="Q40" s="10" t="inlineStr">
        <is>
          <t>CUMPLE (cond.)</t>
        </is>
      </c>
      <c r="R40" s="5" t="inlineStr">
        <is>
          <t>torsión [info] 0.848; fisuración TB 0.5 [sensib.] 0.671</t>
        </is>
      </c>
    </row>
    <row r="41">
      <c r="A41" s="5" t="inlineStr">
        <is>
          <t>VBM</t>
        </is>
      </c>
      <c r="B41" s="5" t="inlineStr">
        <is>
          <t>inf.</t>
        </is>
      </c>
      <c r="C41" s="5" t="inlineStr">
        <is>
          <t>2Ø16</t>
        </is>
      </c>
      <c r="D41" s="5" t="inlineStr">
        <is>
          <t>2Ø16</t>
        </is>
      </c>
      <c r="E41" s="22" t="n">
        <v>4.02</v>
      </c>
      <c r="F41" s="22" t="n">
        <v>4.02</v>
      </c>
      <c r="G41" s="5" t="n"/>
      <c r="H41" s="5" t="n"/>
      <c r="I41" s="5" t="inlineStr">
        <is>
          <t>sin cambio</t>
        </is>
      </c>
      <c r="J41" s="7" t="n">
        <v>0.444</v>
      </c>
      <c r="K41" s="7" t="n">
        <v>0.5328000000000001</v>
      </c>
      <c r="L41" s="5" t="n"/>
      <c r="M41" s="7" t="n">
        <v>0.8715000000000001</v>
      </c>
      <c r="N41" s="7" t="n">
        <v>0.6663</v>
      </c>
      <c r="O41" s="7" t="n">
        <v>0.4852</v>
      </c>
      <c r="P41" s="7" t="n">
        <v>0.2854</v>
      </c>
      <c r="Q41" s="10" t="inlineStr">
        <is>
          <t>CUMPLE (cond.)</t>
        </is>
      </c>
      <c r="R41" s="5" t="inlineStr">
        <is>
          <t>torsión [info] 0.848; fisuración TB 0.5 [sensib.] 0.671</t>
        </is>
      </c>
    </row>
    <row r="42">
      <c r="A42" s="5" t="inlineStr">
        <is>
          <t>VBM</t>
        </is>
      </c>
      <c r="B42" s="5" t="inlineStr">
        <is>
          <t>estribos</t>
        </is>
      </c>
      <c r="C42" s="5" t="inlineStr">
        <is>
          <t>2 ramas Ø8/150 (1e)</t>
        </is>
      </c>
      <c r="D42" s="5" t="inlineStr">
        <is>
          <t>2 ramas Ø8/150 (1e)</t>
        </is>
      </c>
      <c r="E42" s="5" t="n"/>
      <c r="F42" s="5" t="n"/>
      <c r="G42" s="22" t="n">
        <v>2.18</v>
      </c>
      <c r="H42" s="22" t="n">
        <v>2.18</v>
      </c>
      <c r="I42" s="5" t="inlineStr">
        <is>
          <t>sin cambio</t>
        </is>
      </c>
      <c r="J42" s="5" t="n"/>
      <c r="K42" s="7" t="n">
        <v>0.871</v>
      </c>
      <c r="L42" s="5" t="n"/>
      <c r="M42" s="5" t="n"/>
      <c r="N42" s="5" t="n"/>
      <c r="O42" s="5" t="n"/>
      <c r="P42" s="5" t="n"/>
      <c r="Q42" s="5" t="inlineStr"/>
      <c r="R42" s="5" t="inlineStr"/>
    </row>
    <row r="43">
      <c r="A43" s="5" t="inlineStr">
        <is>
          <t>VBT</t>
        </is>
      </c>
      <c r="B43" s="5" t="inlineStr">
        <is>
          <t>sup.</t>
        </is>
      </c>
      <c r="C43" s="5" t="inlineStr">
        <is>
          <t>2Ø16</t>
        </is>
      </c>
      <c r="D43" s="25" t="inlineStr">
        <is>
          <t>3Ø25 (sobre apoyos)</t>
        </is>
      </c>
      <c r="E43" s="22" t="n">
        <v>4.02</v>
      </c>
      <c r="F43" s="22" t="n">
        <v>14.73</v>
      </c>
      <c r="G43" s="22" t="n">
        <v>6.31</v>
      </c>
      <c r="H43" s="22" t="n">
        <v>14.72</v>
      </c>
      <c r="I43" s="10" t="inlineStr">
        <is>
          <t>CAMBIO</t>
        </is>
      </c>
      <c r="J43" s="7" t="n">
        <v>0.4461</v>
      </c>
      <c r="K43" s="7" t="n">
        <v>0.5584</v>
      </c>
      <c r="L43" s="5" t="n"/>
      <c r="M43" s="7" t="n">
        <v>0.8715000000000001</v>
      </c>
      <c r="N43" s="7" t="n">
        <v>0.6708</v>
      </c>
      <c r="O43" s="7" t="n">
        <v>0.4962</v>
      </c>
      <c r="P43" s="7" t="n">
        <v>0.2851</v>
      </c>
      <c r="Q43" s="10" t="inlineStr">
        <is>
          <t>CUMPLE (cond.)</t>
        </is>
      </c>
      <c r="R43" s="5" t="inlineStr">
        <is>
          <t>torsión [info] 0.850; fisuración TB 0.5 [sensib.] 0.685</t>
        </is>
      </c>
    </row>
    <row r="44">
      <c r="A44" s="5" t="inlineStr">
        <is>
          <t>VBT</t>
        </is>
      </c>
      <c r="B44" s="5" t="inlineStr">
        <is>
          <t>inf.</t>
        </is>
      </c>
      <c r="C44" s="5" t="inlineStr">
        <is>
          <t>2Ø16</t>
        </is>
      </c>
      <c r="D44" s="5" t="inlineStr">
        <is>
          <t>2Ø16</t>
        </is>
      </c>
      <c r="E44" s="22" t="n">
        <v>4.02</v>
      </c>
      <c r="F44" s="22" t="n">
        <v>4.02</v>
      </c>
      <c r="G44" s="5" t="n"/>
      <c r="H44" s="5" t="n"/>
      <c r="I44" s="5" t="inlineStr">
        <is>
          <t>sin cambio</t>
        </is>
      </c>
      <c r="J44" s="7" t="n">
        <v>0.4461</v>
      </c>
      <c r="K44" s="7" t="n">
        <v>0.5584</v>
      </c>
      <c r="L44" s="5" t="n"/>
      <c r="M44" s="7" t="n">
        <v>0.8715000000000001</v>
      </c>
      <c r="N44" s="7" t="n">
        <v>0.6708</v>
      </c>
      <c r="O44" s="7" t="n">
        <v>0.4962</v>
      </c>
      <c r="P44" s="7" t="n">
        <v>0.2851</v>
      </c>
      <c r="Q44" s="10" t="inlineStr">
        <is>
          <t>CUMPLE (cond.)</t>
        </is>
      </c>
      <c r="R44" s="5" t="inlineStr">
        <is>
          <t>torsión [info] 0.850; fisuración TB 0.5 [sensib.] 0.685</t>
        </is>
      </c>
    </row>
    <row r="45">
      <c r="A45" s="5" t="inlineStr">
        <is>
          <t>VBT</t>
        </is>
      </c>
      <c r="B45" s="5" t="inlineStr">
        <is>
          <t>estribos</t>
        </is>
      </c>
      <c r="C45" s="5" t="inlineStr">
        <is>
          <t>2 ramas Ø8/150 (1e)</t>
        </is>
      </c>
      <c r="D45" s="5" t="inlineStr">
        <is>
          <t>2 ramas Ø8/150 (1e)</t>
        </is>
      </c>
      <c r="E45" s="5" t="n"/>
      <c r="F45" s="5" t="n"/>
      <c r="G45" s="22" t="n">
        <v>2.18</v>
      </c>
      <c r="H45" s="22" t="n">
        <v>2.18</v>
      </c>
      <c r="I45" s="5" t="inlineStr">
        <is>
          <t>sin cambio</t>
        </is>
      </c>
      <c r="J45" s="5" t="n"/>
      <c r="K45" s="7" t="n">
        <v>0.871</v>
      </c>
      <c r="L45" s="5" t="n"/>
      <c r="M45" s="5" t="n"/>
      <c r="N45" s="5" t="n"/>
      <c r="O45" s="5" t="n"/>
      <c r="P45" s="5" t="n"/>
      <c r="Q45" s="5" t="inlineStr"/>
      <c r="R45" s="5" t="inlineStr"/>
    </row>
    <row r="47">
      <c r="A47" t="inlineStr">
        <is>
          <t>Pilotes (F1): σc ≤ 0.6fck se cubre con 'otras medidas' (A19.7.2(2)): cercos Ø10 c/100 en los 0.40 m superiores. Estimación indicativa del confinamiento (A19.3.1.9 con α = αn·αs): s = 150 mm: σ2 = 1.43 MPa, fck,c = 57.1 MPa, 0.6·fck,c = 34.3 MPa; s = 100 mm: σ2 = 2.67 MPa, fck,c = 62.9 MPa, 0.6·fck,c = 37.8 MPa frente a σc,máx = 33.3 MPa.</t>
        </is>
      </c>
    </row>
    <row r="48">
      <c r="A48" t="inlineStr">
        <is>
          <t>Vigas interiores (F3): kg/m longitudinal 32.1 -&gt; 40.8; el resto de comprobaciones mejora o no cambia.</t>
        </is>
      </c>
    </row>
    <row r="49">
      <c r="A49" t="inlineStr">
        <is>
          <t>Vigas extremas (F4): sin cambio; sensibilidad del apoyo de las alveoplacas en el ala: superior 4Ø25 (η cordón 1.185 -&gt; 0.982).</t>
        </is>
      </c>
    </row>
    <row r="50">
      <c r="A50" t="inlineStr">
        <is>
          <t>Vigas de borde (F5): 3Ø25 sup. sobre apoyos condicionado al reparto de carga del modelo SAP (lámina ortótropa); kg/m calculado con la barra en toda la longitud (cota superior).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7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0" customWidth="1" min="3" max="3"/>
    <col width="10" customWidth="1" min="4" max="4"/>
    <col width="10" customWidth="1" min="5" max="5"/>
    <col width="10" customWidth="1" min="6" max="6"/>
    <col width="30" customWidth="1" min="7" max="7"/>
    <col width="36" customWidth="1" min="8" max="8"/>
    <col width="40" customWidth="1" min="9" max="9"/>
  </cols>
  <sheetData>
    <row r="1">
      <c r="A1" s="1" t="inlineStr">
        <is>
          <t>Paridad con CYPECAD (Anejo 10): valores propios frente a los impresos por CYPE</t>
        </is>
      </c>
    </row>
    <row r="2">
      <c r="A2" s="2" t="inlineStr">
        <is>
          <t>PASS = dentro de la tolerancia de validate_codigo.py (0.5 % o media unidad del último dígito impreso); INFO = alternativa del Código o valor informativo (no es de paridad).</t>
        </is>
      </c>
    </row>
    <row r="3">
      <c r="A3" t="inlineStr">
        <is>
          <t>279 filas de paridad PASS de 368 (pilotes 203, vigas 76); FAIL: 0.</t>
        </is>
      </c>
    </row>
    <row r="4" ht="32" customHeight="1">
      <c r="A4" s="4" t="inlineStr">
        <is>
          <t>Elemento</t>
        </is>
      </c>
      <c r="B4" s="4" t="inlineStr">
        <is>
          <t>Magnitud</t>
        </is>
      </c>
      <c r="C4" s="4" t="inlineStr">
        <is>
          <t>Propio</t>
        </is>
      </c>
      <c r="D4" s="4" t="inlineStr">
        <is>
          <t>CYPE</t>
        </is>
      </c>
      <c r="E4" s="4" t="inlineStr">
        <is>
          <t>Dif. %</t>
        </is>
      </c>
      <c r="F4" s="4" t="inlineStr">
        <is>
          <t>Estado</t>
        </is>
      </c>
      <c r="G4" s="4" t="inlineStr">
        <is>
          <t>Tipo</t>
        </is>
      </c>
      <c r="H4" s="4" t="inlineStr">
        <is>
          <t>Fuente</t>
        </is>
      </c>
      <c r="I4" s="4" t="inlineStr">
        <is>
          <t>Nota</t>
        </is>
      </c>
      <c r="M4" t="inlineStr">
        <is>
          <t>|CYPE| datos CYPE</t>
        </is>
      </c>
      <c r="N4" t="inlineStr">
        <is>
          <t>Datos de CYPE (reproducción exacta)</t>
        </is>
      </c>
      <c r="O4" t="inlineStr">
        <is>
          <t>|CYPE| fuerzas SAP</t>
        </is>
      </c>
      <c r="P4" t="inlineStr">
        <is>
          <t>Fuerzas SAP (≤ 5 %)</t>
        </is>
      </c>
      <c r="Q4" t="inlineStr">
        <is>
          <t>1:1 x</t>
        </is>
      </c>
      <c r="R4" t="inlineStr">
        <is>
          <t>1:1</t>
        </is>
      </c>
    </row>
    <row r="5">
      <c r="A5" s="5" t="inlineStr">
        <is>
          <t>Pilotes</t>
        </is>
      </c>
      <c r="B5" s="5" t="inlineStr">
        <is>
          <t>P3 Cabeza (CYPE forces) 1st order ee,y (eje x)</t>
        </is>
      </c>
      <c r="C5" s="21" t="n">
        <v>465.05</v>
      </c>
      <c r="D5" s="21" t="n">
        <v>465.06</v>
      </c>
      <c r="E5" s="22" t="n">
        <v>-0.00177</v>
      </c>
      <c r="F5" s="12" t="inlineStr">
        <is>
          <t>PASS</t>
        </is>
      </c>
      <c r="G5" s="5" t="inlineStr">
        <is>
          <t>datos de CYPE (reproducción exacta)</t>
        </is>
      </c>
      <c r="H5" s="5" t="inlineStr">
        <is>
          <t>P245 table: [Comprobación de resistencia de la sección] ee,y</t>
        </is>
      </c>
      <c r="I5" s="5" t="inlineStr"/>
      <c r="M5" t="n">
        <v>465.06</v>
      </c>
      <c r="N5" t="n">
        <v>465.05</v>
      </c>
      <c r="O5" t="n">
        <v>620.0599999999999</v>
      </c>
      <c r="P5" t="n">
        <v>628.46</v>
      </c>
      <c r="Q5" t="n">
        <v>0.00386</v>
      </c>
      <c r="R5" t="n">
        <v>0.00386</v>
      </c>
    </row>
    <row r="6">
      <c r="A6" s="5" t="inlineStr">
        <is>
          <t>Pilotes</t>
        </is>
      </c>
      <c r="B6" s="5" t="inlineStr">
        <is>
          <t>P3 Cabeza (CYPE forces) 1st order ee,x (eje y)</t>
        </is>
      </c>
      <c r="C6" s="21" t="n">
        <v>-6.145</v>
      </c>
      <c r="D6" s="21" t="n">
        <v>-6.14</v>
      </c>
      <c r="E6" s="22" t="n">
        <v>-0.07438</v>
      </c>
      <c r="F6" s="12" t="inlineStr">
        <is>
          <t>PASS</t>
        </is>
      </c>
      <c r="G6" s="5" t="inlineStr">
        <is>
          <t>datos de CYPE (reproducción exacta)</t>
        </is>
      </c>
      <c r="H6" s="5" t="inlineStr">
        <is>
          <t>P245 table: [Comprobación de resistencia de la sección] ee,x</t>
        </is>
      </c>
      <c r="I6" s="5" t="inlineStr"/>
      <c r="M6" t="n">
        <v>6.14</v>
      </c>
      <c r="N6" t="n">
        <v>6.145</v>
      </c>
      <c r="O6" t="n">
        <v>288.36</v>
      </c>
      <c r="P6" t="n">
        <v>285.53</v>
      </c>
      <c r="Q6" t="n">
        <v>28339.3524</v>
      </c>
      <c r="R6" t="n">
        <v>28339.3524</v>
      </c>
    </row>
    <row r="7">
      <c r="A7" s="5" t="inlineStr">
        <is>
          <t>Pilotes</t>
        </is>
      </c>
      <c r="B7" s="5" t="inlineStr">
        <is>
          <t>P3 Cabeza (CYPE forces) 1st order NRd</t>
        </is>
      </c>
      <c r="C7" s="21" t="n">
        <v>925.8200000000001</v>
      </c>
      <c r="D7" s="21" t="n">
        <v>925.83</v>
      </c>
      <c r="E7" s="22" t="n">
        <v>-0.00108</v>
      </c>
      <c r="F7" s="12" t="inlineStr">
        <is>
          <t>PASS</t>
        </is>
      </c>
      <c r="G7" s="5" t="inlineStr">
        <is>
          <t>datos de CYPE (reproducción exacta)</t>
        </is>
      </c>
      <c r="H7" s="5" t="inlineStr">
        <is>
          <t>P245 table: [Comprobación de resistencia de la sección] NRd</t>
        </is>
      </c>
      <c r="I7" s="5" t="inlineStr"/>
      <c r="M7" t="n">
        <v>925.83</v>
      </c>
      <c r="N7" t="n">
        <v>925.8200000000001</v>
      </c>
      <c r="O7" t="n">
        <v>0.67</v>
      </c>
      <c r="P7" t="n">
        <v>0.6712900000000001</v>
      </c>
    </row>
    <row r="8">
      <c r="A8" s="5" t="inlineStr">
        <is>
          <t>Pilotes</t>
        </is>
      </c>
      <c r="B8" s="5" t="inlineStr">
        <is>
          <t>P3 Cabeza (CYPE forces) 1st order MRd,x</t>
        </is>
      </c>
      <c r="C8" s="21" t="n">
        <v>430.55</v>
      </c>
      <c r="D8" s="21" t="n">
        <v>430.56</v>
      </c>
      <c r="E8" s="22" t="n">
        <v>-0.00134</v>
      </c>
      <c r="F8" s="12" t="inlineStr">
        <is>
          <t>PASS</t>
        </is>
      </c>
      <c r="G8" s="5" t="inlineStr">
        <is>
          <t>datos de CYPE (reproducción exacta)</t>
        </is>
      </c>
      <c r="H8" s="5" t="inlineStr">
        <is>
          <t>P245 table: [Comprobación de resistencia de la sección] MRd,x</t>
        </is>
      </c>
      <c r="I8" s="5" t="inlineStr"/>
      <c r="M8" t="n">
        <v>430.56</v>
      </c>
      <c r="N8" t="n">
        <v>430.55</v>
      </c>
      <c r="O8" t="n">
        <v>42.58</v>
      </c>
      <c r="P8" t="n">
        <v>42.299</v>
      </c>
    </row>
    <row r="9">
      <c r="A9" s="5" t="inlineStr">
        <is>
          <t>Pilotes</t>
        </is>
      </c>
      <c r="B9" s="5" t="inlineStr">
        <is>
          <t>P3 Cabeza (CYPE forces) 1st order MRd,y</t>
        </is>
      </c>
      <c r="C9" s="21" t="n">
        <v>-5.689</v>
      </c>
      <c r="D9" s="21" t="n">
        <v>-5.68</v>
      </c>
      <c r="E9" s="22" t="n">
        <v>-0.15427</v>
      </c>
      <c r="F9" s="12" t="inlineStr">
        <is>
          <t>PASS</t>
        </is>
      </c>
      <c r="G9" s="5" t="inlineStr">
        <is>
          <t>datos de CYPE (reproducción exacta)</t>
        </is>
      </c>
      <c r="H9" s="5" t="inlineStr">
        <is>
          <t>P245 table: [Comprobación de resistencia de la sección] MRd,y</t>
        </is>
      </c>
      <c r="I9" s="5" t="inlineStr">
        <is>
          <t>small component: half-unit/1 % tolerance</t>
        </is>
      </c>
      <c r="M9" t="n">
        <v>5.68</v>
      </c>
      <c r="N9" t="n">
        <v>5.689</v>
      </c>
      <c r="O9" t="n">
        <v>353.51</v>
      </c>
      <c r="P9" t="n">
        <v>351.56</v>
      </c>
    </row>
    <row r="10">
      <c r="A10" s="5" t="inlineStr">
        <is>
          <t>Pilotes</t>
        </is>
      </c>
      <c r="B10" s="5" t="inlineStr">
        <is>
          <t>P3 Cabeza (CYPE forces) η1 section resistance</t>
        </is>
      </c>
      <c r="C10" s="21" t="n">
        <v>0.66974</v>
      </c>
      <c r="D10" s="21" t="n">
        <v>0.67</v>
      </c>
      <c r="E10" s="22" t="n">
        <v>-0.03859</v>
      </c>
      <c r="F10" s="12" t="inlineStr">
        <is>
          <t>PASS</t>
        </is>
      </c>
      <c r="G10" s="5" t="inlineStr">
        <is>
          <t>datos de CYPE (reproducción exacta)</t>
        </is>
      </c>
      <c r="H10" s="5" t="inlineStr">
        <is>
          <t>P242 table: η (occurrence 1)</t>
        </is>
      </c>
      <c r="I10" s="5" t="inlineStr"/>
      <c r="M10" t="n">
        <v>0.67</v>
      </c>
      <c r="N10" t="n">
        <v>0.66974</v>
      </c>
      <c r="O10" t="n">
        <v>0.913</v>
      </c>
      <c r="P10" t="n">
        <v>0.92019</v>
      </c>
    </row>
    <row r="11">
      <c r="A11" s="5" t="inlineStr">
        <is>
          <t>Pilotes</t>
        </is>
      </c>
      <c r="B11" s="5" t="inlineStr">
        <is>
          <t>P3 Cabeza (CYPE forces) lambda (eje x)</t>
        </is>
      </c>
      <c r="C11" s="21" t="n">
        <v>58.024</v>
      </c>
      <c r="D11" s="21" t="n">
        <v>58.02</v>
      </c>
      <c r="E11" s="22" t="n">
        <v>0.00638</v>
      </c>
      <c r="F11" s="12" t="inlineStr">
        <is>
          <t>PASS</t>
        </is>
      </c>
      <c r="G11" s="5" t="inlineStr">
        <is>
          <t>datos de CYPE (reproducción exacta)</t>
        </is>
      </c>
      <c r="H11" s="5" t="inlineStr">
        <is>
          <t>P245 table: [Comprobación del estado limite de inestabilidad &gt; En el eje x] λ</t>
        </is>
      </c>
      <c r="I11" s="5" t="inlineStr"/>
      <c r="M11" t="n">
        <v>58.02</v>
      </c>
      <c r="N11" t="n">
        <v>58.024</v>
      </c>
      <c r="O11" t="n">
        <v>0.08599999999999999</v>
      </c>
      <c r="P11" t="n">
        <v>0.08506</v>
      </c>
    </row>
    <row r="12">
      <c r="A12" s="5" t="inlineStr">
        <is>
          <t>Pilotes</t>
        </is>
      </c>
      <c r="B12" s="5" t="inlineStr">
        <is>
          <t>P3 Cabeza (CYPE forces) i_c (eje x)</t>
        </is>
      </c>
      <c r="C12" s="21" t="n">
        <v>11.547</v>
      </c>
      <c r="D12" s="21" t="n">
        <v>11.55</v>
      </c>
      <c r="E12" s="22" t="n">
        <v>-0.02593</v>
      </c>
      <c r="F12" s="12" t="inlineStr">
        <is>
          <t>PASS</t>
        </is>
      </c>
      <c r="G12" s="5" t="inlineStr">
        <is>
          <t>datos de CYPE (reproducción exacta)</t>
        </is>
      </c>
      <c r="H12" s="5" t="inlineStr">
        <is>
          <t>P245 table: [Comprobación del estado limite de inestabilidad &gt; En el eje x] ic</t>
        </is>
      </c>
      <c r="I12" s="5" t="inlineStr"/>
      <c r="M12" t="n">
        <v>11.55</v>
      </c>
      <c r="N12" t="n">
        <v>11.547</v>
      </c>
      <c r="O12" t="n">
        <v>0.67</v>
      </c>
      <c r="P12" t="n">
        <v>0.6712900000000001</v>
      </c>
    </row>
    <row r="13">
      <c r="A13" s="5" t="inlineStr">
        <is>
          <t>Pilotes</t>
        </is>
      </c>
      <c r="B13" s="5" t="inlineStr">
        <is>
          <t>P3 Cabeza (CYPE forces) lambda_inf_lim (eje x)</t>
        </is>
      </c>
      <c r="C13" s="21" t="n">
        <v>42.584</v>
      </c>
      <c r="D13" s="21" t="n">
        <v>42.58</v>
      </c>
      <c r="E13" s="22" t="n">
        <v>0.01015</v>
      </c>
      <c r="F13" s="12" t="inlineStr">
        <is>
          <t>PASS</t>
        </is>
      </c>
      <c r="G13" s="5" t="inlineStr">
        <is>
          <t>datos de CYPE (reproducción exacta)</t>
        </is>
      </c>
      <c r="H13" s="5" t="inlineStr">
        <is>
          <t>P245 table: [Comprobación del estado limite de inestabilidad &gt; En el eje x] λinf</t>
        </is>
      </c>
      <c r="I13" s="5" t="inlineStr"/>
      <c r="M13" t="n">
        <v>42.58</v>
      </c>
      <c r="N13" t="n">
        <v>42.584</v>
      </c>
      <c r="O13" t="n">
        <v>0.913</v>
      </c>
      <c r="P13" t="n">
        <v>0.92019</v>
      </c>
    </row>
    <row r="14">
      <c r="A14" s="5" t="inlineStr">
        <is>
          <t>Pilotes</t>
        </is>
      </c>
      <c r="B14" s="5" t="inlineStr">
        <is>
          <t>P3 Cabeza (CYPE forces) A (eje x)</t>
        </is>
      </c>
      <c r="C14" s="21" t="n">
        <v>0.74074</v>
      </c>
      <c r="D14" s="21" t="n">
        <v>0.74</v>
      </c>
      <c r="E14" s="22" t="n">
        <v>0.1001</v>
      </c>
      <c r="F14" s="12" t="inlineStr">
        <is>
          <t>PASS</t>
        </is>
      </c>
      <c r="G14" s="5" t="inlineStr">
        <is>
          <t>datos de CYPE (reproducción exacta)</t>
        </is>
      </c>
      <c r="H14" s="5" t="inlineStr">
        <is>
          <t>P245 table: [Comprobación del estado limite de inestabilidad &gt; En el eje x] A</t>
        </is>
      </c>
      <c r="I14" s="5" t="inlineStr"/>
      <c r="M14" t="n">
        <v>0.74</v>
      </c>
      <c r="N14" t="n">
        <v>0.74074</v>
      </c>
      <c r="O14" t="n">
        <v>0.552</v>
      </c>
      <c r="P14" t="n">
        <v>0.54922</v>
      </c>
    </row>
    <row r="15">
      <c r="A15" s="5" t="inlineStr">
        <is>
          <t>Pilotes</t>
        </is>
      </c>
      <c r="B15" s="5" t="inlineStr">
        <is>
          <t>P3 Cabeza (CYPE forces) B (eje x)</t>
        </is>
      </c>
      <c r="C15" s="21" t="n">
        <v>1.4</v>
      </c>
      <c r="D15" s="21" t="n">
        <v>1.4</v>
      </c>
      <c r="E15" s="22" t="n">
        <v>0.01034</v>
      </c>
      <c r="F15" s="12" t="inlineStr">
        <is>
          <t>PASS</t>
        </is>
      </c>
      <c r="G15" s="5" t="inlineStr">
        <is>
          <t>datos de CYPE (reproducción exacta)</t>
        </is>
      </c>
      <c r="H15" s="5" t="inlineStr">
        <is>
          <t>P245 table: [Comprobación del estado limite de inestabilidad &gt; En el eje x] B</t>
        </is>
      </c>
      <c r="I15" s="5" t="inlineStr"/>
      <c r="M15" t="n">
        <v>1.4</v>
      </c>
      <c r="N15" t="n">
        <v>1.4</v>
      </c>
      <c r="O15" t="n">
        <v>655.55</v>
      </c>
      <c r="P15" t="n">
        <v>661.26</v>
      </c>
    </row>
    <row r="16">
      <c r="A16" s="5" t="inlineStr">
        <is>
          <t>Pilotes</t>
        </is>
      </c>
      <c r="B16" s="5" t="inlineStr">
        <is>
          <t>P3 Cabeza (CYPE forces) omega (eje x)</t>
        </is>
      </c>
      <c r="C16" s="21" t="n">
        <v>0.4802</v>
      </c>
      <c r="D16" s="21" t="n">
        <v>0.48</v>
      </c>
      <c r="E16" s="22" t="n">
        <v>0.04223</v>
      </c>
      <c r="F16" s="12" t="inlineStr">
        <is>
          <t>PASS</t>
        </is>
      </c>
      <c r="G16" s="5" t="inlineStr">
        <is>
          <t>datos de CYPE (reproducción exacta)</t>
        </is>
      </c>
      <c r="H16" s="5" t="inlineStr">
        <is>
          <t>P245 table: [Comprobación del estado limite de inestabilidad &gt; En el eje x] ω (occurrence 1)</t>
        </is>
      </c>
      <c r="I16" s="5" t="inlineStr"/>
      <c r="M16" t="n">
        <v>0.48</v>
      </c>
      <c r="N16" t="n">
        <v>0.4802</v>
      </c>
      <c r="O16" t="n">
        <v>283.56</v>
      </c>
      <c r="P16" t="n">
        <v>281.91</v>
      </c>
    </row>
    <row r="17">
      <c r="A17" s="5" t="inlineStr">
        <is>
          <t>Pilotes</t>
        </is>
      </c>
      <c r="B17" s="5" t="inlineStr">
        <is>
          <t>P3 Cabeza (CYPE forces) C (eje x)</t>
        </is>
      </c>
      <c r="C17" s="21" t="n">
        <v>0.7</v>
      </c>
      <c r="D17" s="21" t="n">
        <v>0.7</v>
      </c>
      <c r="E17" s="22" t="n">
        <v>0</v>
      </c>
      <c r="F17" s="12" t="inlineStr">
        <is>
          <t>PASS</t>
        </is>
      </c>
      <c r="G17" s="5" t="inlineStr">
        <is>
          <t>datos de CYPE (reproducción exacta)</t>
        </is>
      </c>
      <c r="H17" s="5" t="inlineStr">
        <is>
          <t>P245 table: [Comprobación del estado limite de inestabilidad &gt; En el eje x] C</t>
        </is>
      </c>
      <c r="I17" s="5" t="inlineStr"/>
      <c r="M17" t="n">
        <v>0.7</v>
      </c>
      <c r="N17" t="n">
        <v>0.7</v>
      </c>
      <c r="O17" t="n">
        <v>0.642</v>
      </c>
      <c r="P17" t="n">
        <v>0.6428700000000001</v>
      </c>
    </row>
    <row r="18">
      <c r="A18" s="5" t="inlineStr">
        <is>
          <t>Pilotes</t>
        </is>
      </c>
      <c r="B18" s="5" t="inlineStr">
        <is>
          <t>P3 Cabeza (CYPE forces) n (eje x)</t>
        </is>
      </c>
      <c r="C18" s="21" t="n">
        <v>0.11626</v>
      </c>
      <c r="D18" s="21" t="n">
        <v>0.12</v>
      </c>
      <c r="E18" s="22" t="n">
        <v>-3.116</v>
      </c>
      <c r="F18" s="12" t="inlineStr">
        <is>
          <t>PASS</t>
        </is>
      </c>
      <c r="G18" s="5" t="inlineStr">
        <is>
          <t>datos de CYPE (reproducción exacta)</t>
        </is>
      </c>
      <c r="H18" s="5" t="inlineStr">
        <is>
          <t>P245 table: [Comprobación del estado limite de inestabilidad &gt; En el eje x] n (occurrence 1)</t>
        </is>
      </c>
      <c r="I18" s="5" t="inlineStr"/>
      <c r="M18" t="n">
        <v>0.12</v>
      </c>
      <c r="N18" t="n">
        <v>0.11626</v>
      </c>
      <c r="O18" t="n">
        <v>41.42</v>
      </c>
      <c r="P18" t="n">
        <v>41.236</v>
      </c>
    </row>
    <row r="19">
      <c r="A19" s="5" t="inlineStr">
        <is>
          <t>Pilotes</t>
        </is>
      </c>
      <c r="B19" s="5" t="inlineStr">
        <is>
          <t>P3 Cabeza (CYPE forces) e_i (eje x)</t>
        </is>
      </c>
      <c r="C19" s="21" t="n">
        <v>12.942</v>
      </c>
      <c r="D19" s="21" t="n">
        <v>12.94</v>
      </c>
      <c r="E19" s="22" t="n">
        <v>0.01684</v>
      </c>
      <c r="F19" s="12" t="inlineStr">
        <is>
          <t>PASS</t>
        </is>
      </c>
      <c r="G19" s="5" t="inlineStr">
        <is>
          <t>datos de CYPE (reproducción exacta)</t>
        </is>
      </c>
      <c r="H19" s="5" t="inlineStr">
        <is>
          <t>P245 table: [Comprobación del estado limite de inestabilidad &gt; En el eje x] ei</t>
        </is>
      </c>
      <c r="I19" s="5" t="inlineStr"/>
      <c r="M19" t="n">
        <v>12.94</v>
      </c>
      <c r="N19" t="n">
        <v>12.942</v>
      </c>
      <c r="O19" t="n">
        <v>352.07</v>
      </c>
      <c r="P19" t="n">
        <v>351.01</v>
      </c>
    </row>
    <row r="20">
      <c r="A20" s="5" t="inlineStr">
        <is>
          <t>Pilotes</t>
        </is>
      </c>
      <c r="B20" s="5" t="inlineStr">
        <is>
          <t>P3 Cabeza (CYPE forces) e2 (eje x)</t>
        </is>
      </c>
      <c r="C20" s="21" t="n">
        <v>92.121</v>
      </c>
      <c r="D20" s="21" t="n">
        <v>92.12</v>
      </c>
      <c r="E20" s="22" t="n">
        <v>0.00064178</v>
      </c>
      <c r="F20" s="12" t="inlineStr">
        <is>
          <t>PASS</t>
        </is>
      </c>
      <c r="G20" s="5" t="inlineStr">
        <is>
          <t>datos de CYPE (reproducción exacta)</t>
        </is>
      </c>
      <c r="H20" s="5" t="inlineStr">
        <is>
          <t>P245 table: [Comprobación del estado limite de inestabilidad &gt; En el eje x] e2</t>
        </is>
      </c>
      <c r="I20" s="5" t="inlineStr"/>
      <c r="M20" t="n">
        <v>92.12</v>
      </c>
      <c r="N20" t="n">
        <v>92.121</v>
      </c>
      <c r="O20" t="n">
        <v>0.894</v>
      </c>
      <c r="P20" t="n">
        <v>0.89801</v>
      </c>
    </row>
    <row r="21">
      <c r="A21" s="5" t="inlineStr">
        <is>
          <t>Pilotes</t>
        </is>
      </c>
      <c r="B21" s="5" t="inlineStr">
        <is>
          <t>P3 Cabeza (CYPE forces) one_over_r (eje x)</t>
        </is>
      </c>
      <c r="C21" s="21" t="n">
        <v>0.02025</v>
      </c>
      <c r="D21" s="21" t="n">
        <v>0.0203</v>
      </c>
      <c r="E21" s="22" t="n">
        <v>-0.22751</v>
      </c>
      <c r="F21" s="12" t="inlineStr">
        <is>
          <t>PASS</t>
        </is>
      </c>
      <c r="G21" s="5" t="inlineStr">
        <is>
          <t>datos de CYPE (reproducción exacta)</t>
        </is>
      </c>
      <c r="H21" s="5" t="inlineStr">
        <is>
          <t>P245 table: [Comprobación del estado limite de inestabilidad &gt; En el eje x] 1/r</t>
        </is>
      </c>
      <c r="I21" s="5" t="inlineStr"/>
      <c r="M21" t="n">
        <v>0.0203</v>
      </c>
      <c r="N21" t="n">
        <v>0.02025</v>
      </c>
      <c r="O21" t="n">
        <v>0.08500000000000001</v>
      </c>
      <c r="P21" t="n">
        <v>0.08432000000000001</v>
      </c>
    </row>
    <row r="22">
      <c r="A22" s="5" t="inlineStr">
        <is>
          <t>Pilotes</t>
        </is>
      </c>
      <c r="B22" s="5" t="inlineStr">
        <is>
          <t>P3 Cabeza (CYPE forces) one_over_r0 (eje x)</t>
        </is>
      </c>
      <c r="C22" s="21" t="n">
        <v>0.01475</v>
      </c>
      <c r="D22" s="21" t="n">
        <v>0.0148</v>
      </c>
      <c r="E22" s="22" t="n">
        <v>-0.3318</v>
      </c>
      <c r="F22" s="12" t="inlineStr">
        <is>
          <t>PASS</t>
        </is>
      </c>
      <c r="G22" s="5" t="inlineStr">
        <is>
          <t>datos de CYPE (reproducción exacta)</t>
        </is>
      </c>
      <c r="H22" s="5" t="inlineStr">
        <is>
          <t>P245 table: [Comprobación del estado limite de inestabilidad &gt; En el eje x] 1/r0</t>
        </is>
      </c>
      <c r="I22" s="5" t="inlineStr"/>
      <c r="M22" t="n">
        <v>0.0148</v>
      </c>
      <c r="N22" t="n">
        <v>0.01475</v>
      </c>
      <c r="O22" t="n">
        <v>0.642</v>
      </c>
      <c r="P22" t="n">
        <v>0.66504</v>
      </c>
    </row>
    <row r="23">
      <c r="A23" s="5" t="inlineStr">
        <is>
          <t>Pilotes</t>
        </is>
      </c>
      <c r="B23" s="5" t="inlineStr">
        <is>
          <t>P3 Cabeza (CYPE forces) K_r (eje x)</t>
        </is>
      </c>
      <c r="C23" s="21" t="n">
        <v>1</v>
      </c>
      <c r="D23" s="21" t="n">
        <v>1</v>
      </c>
      <c r="E23" s="22" t="n">
        <v>0</v>
      </c>
      <c r="F23" s="12" t="inlineStr">
        <is>
          <t>PASS</t>
        </is>
      </c>
      <c r="G23" s="5" t="inlineStr">
        <is>
          <t>datos de CYPE (reproducción exacta)</t>
        </is>
      </c>
      <c r="H23" s="5" t="inlineStr">
        <is>
          <t>P245 table: [Comprobación del estado limite de inestabilidad &gt; En el eje x] Kr</t>
        </is>
      </c>
      <c r="I23" s="5" t="inlineStr"/>
      <c r="M23" t="n">
        <v>1</v>
      </c>
      <c r="N23" t="n">
        <v>1</v>
      </c>
      <c r="O23" t="n">
        <v>0.894</v>
      </c>
      <c r="P23" t="n">
        <v>0.89801</v>
      </c>
    </row>
    <row r="24">
      <c r="A24" s="5" t="inlineStr">
        <is>
          <t>Pilotes</t>
        </is>
      </c>
      <c r="B24" s="5" t="inlineStr">
        <is>
          <t>P3 Cabeza (CYPE forces) K_phi (eje x)</t>
        </is>
      </c>
      <c r="C24" s="21" t="n">
        <v>1.373</v>
      </c>
      <c r="D24" s="21" t="n">
        <v>1.373</v>
      </c>
      <c r="E24" s="22" t="n">
        <v>0.00414</v>
      </c>
      <c r="F24" s="12" t="inlineStr">
        <is>
          <t>PASS</t>
        </is>
      </c>
      <c r="G24" s="5" t="inlineStr">
        <is>
          <t>datos de CYPE (reproducción exacta)</t>
        </is>
      </c>
      <c r="H24" s="5" t="inlineStr">
        <is>
          <t>P245 table: [Comprobación del estado limite de inestabilidad &gt; En el eje x] Kϕ</t>
        </is>
      </c>
      <c r="I24" s="5" t="inlineStr"/>
      <c r="M24" t="n">
        <v>1.373</v>
      </c>
      <c r="N24" t="n">
        <v>1.373</v>
      </c>
      <c r="O24" t="n">
        <v>84.09999999999999</v>
      </c>
      <c r="P24" t="n">
        <v>87.21899999999999</v>
      </c>
    </row>
    <row r="25">
      <c r="A25" s="5" t="inlineStr">
        <is>
          <t>Pilotes</t>
        </is>
      </c>
      <c r="B25" s="5" t="inlineStr">
        <is>
          <t>P3 Cabeza (CYPE forces) beta (eje x)</t>
        </is>
      </c>
      <c r="C25" s="21" t="n">
        <v>0.21318</v>
      </c>
      <c r="D25" s="21" t="n">
        <v>0.213</v>
      </c>
      <c r="E25" s="22" t="n">
        <v>0.08230999999999999</v>
      </c>
      <c r="F25" s="12" t="inlineStr">
        <is>
          <t>PASS</t>
        </is>
      </c>
      <c r="G25" s="5" t="inlineStr">
        <is>
          <t>datos de CYPE (reproducción exacta)</t>
        </is>
      </c>
      <c r="H25" s="5" t="inlineStr">
        <is>
          <t>P245 table: [Comprobación del estado limite de inestabilidad &gt; En el eje x] β</t>
        </is>
      </c>
      <c r="I25" s="5" t="inlineStr"/>
      <c r="M25" t="n">
        <v>0.213</v>
      </c>
      <c r="N25" t="n">
        <v>0.21318</v>
      </c>
      <c r="O25" t="n">
        <v>57.3</v>
      </c>
      <c r="P25" t="n">
        <v>57.151</v>
      </c>
    </row>
    <row r="26">
      <c r="A26" s="5" t="inlineStr">
        <is>
          <t>Pilotes</t>
        </is>
      </c>
      <c r="B26" s="5" t="inlineStr">
        <is>
          <t>P3 Cabeza (CYPE forces) n_u (eje x)</t>
        </is>
      </c>
      <c r="C26" s="21" t="n">
        <v>1.48</v>
      </c>
      <c r="D26" s="21" t="n">
        <v>1.48</v>
      </c>
      <c r="E26" s="22" t="n">
        <v>0.01369</v>
      </c>
      <c r="F26" s="12" t="inlineStr">
        <is>
          <t>PASS</t>
        </is>
      </c>
      <c r="G26" s="5" t="inlineStr">
        <is>
          <t>datos de CYPE (reproducción exacta)</t>
        </is>
      </c>
      <c r="H26" s="5" t="inlineStr">
        <is>
          <t>P245 table: [Comprobación del estado limite de inestabilidad &gt; En el eje x] nu</t>
        </is>
      </c>
      <c r="I26" s="5" t="inlineStr"/>
      <c r="M26" t="n">
        <v>1.48</v>
      </c>
      <c r="N26" t="n">
        <v>1.48</v>
      </c>
      <c r="O26" t="n">
        <v>85.7</v>
      </c>
      <c r="P26" t="n">
        <v>86.84999999999999</v>
      </c>
    </row>
    <row r="27">
      <c r="A27" s="5" t="inlineStr">
        <is>
          <t>Pilotes</t>
        </is>
      </c>
      <c r="B27" s="5" t="inlineStr">
        <is>
          <t>P3 Cabeza (CYPE forces) d (eje x)</t>
        </is>
      </c>
      <c r="C27" s="21" t="n">
        <v>327.5</v>
      </c>
      <c r="D27" s="21" t="n">
        <v>328</v>
      </c>
      <c r="E27" s="22" t="n">
        <v>-0.15244</v>
      </c>
      <c r="F27" s="12" t="inlineStr">
        <is>
          <t>PASS</t>
        </is>
      </c>
      <c r="G27" s="5" t="inlineStr">
        <is>
          <t>datos de CYPE (reproducción exacta)</t>
        </is>
      </c>
      <c r="H27" s="5" t="inlineStr">
        <is>
          <t>P245 table: [Comprobación del estado limite de inestabilidad &gt; En el eje x] d</t>
        </is>
      </c>
      <c r="I27" s="5" t="inlineStr"/>
      <c r="M27" t="n">
        <v>328</v>
      </c>
      <c r="N27" t="n">
        <v>327.5</v>
      </c>
      <c r="O27" t="n">
        <v>56.2</v>
      </c>
      <c r="P27" t="n">
        <v>56.172</v>
      </c>
    </row>
    <row r="28">
      <c r="A28" s="5" t="inlineStr">
        <is>
          <t>Pilotes</t>
        </is>
      </c>
      <c r="B28" s="5" t="inlineStr">
        <is>
          <t>P3 Cabeza (CYPE forces) alpha_h</t>
        </is>
      </c>
      <c r="C28" s="21" t="n">
        <v>0.77267</v>
      </c>
      <c r="D28" s="21" t="n">
        <v>0.7727000000000001</v>
      </c>
      <c r="E28" s="22" t="n">
        <v>-0.00422</v>
      </c>
      <c r="F28" s="12" t="inlineStr">
        <is>
          <t>PASS</t>
        </is>
      </c>
      <c r="G28" s="5" t="inlineStr">
        <is>
          <t>datos de CYPE (reproducción exacta)</t>
        </is>
      </c>
      <c r="H28" s="5" t="inlineStr">
        <is>
          <t>P245 table: [Comprobación del estado limite de inestabilidad &gt; En el eje x] αh</t>
        </is>
      </c>
      <c r="I28" s="5" t="inlineStr"/>
      <c r="M28" t="n">
        <v>0.7727000000000001</v>
      </c>
      <c r="N28" t="n">
        <v>0.77267</v>
      </c>
      <c r="O28" t="n">
        <v>84.7</v>
      </c>
      <c r="P28" t="n">
        <v>85.818</v>
      </c>
    </row>
    <row r="29">
      <c r="A29" s="5" t="inlineStr">
        <is>
          <t>Pilotes</t>
        </is>
      </c>
      <c r="B29" s="5" t="inlineStr">
        <is>
          <t>P3 Cabeza (CYPE forces) theta_i</t>
        </is>
      </c>
      <c r="C29" s="21" t="n">
        <v>0.00386</v>
      </c>
      <c r="D29" s="21" t="n">
        <v>0.0039</v>
      </c>
      <c r="E29" s="22" t="n">
        <v>-0.94008</v>
      </c>
      <c r="F29" s="12" t="inlineStr">
        <is>
          <t>PASS</t>
        </is>
      </c>
      <c r="G29" s="5" t="inlineStr">
        <is>
          <t>datos de CYPE (reproducción exacta)</t>
        </is>
      </c>
      <c r="H29" s="5" t="inlineStr">
        <is>
          <t>P245 table: [Comprobación del estado limite de inestabilidad &gt; En el eje x] θi</t>
        </is>
      </c>
      <c r="I29" s="5" t="inlineStr"/>
      <c r="M29" t="n">
        <v>0.0039</v>
      </c>
      <c r="N29" t="n">
        <v>0.00386</v>
      </c>
      <c r="O29" t="n">
        <v>8.1</v>
      </c>
      <c r="P29" t="n">
        <v>8.128</v>
      </c>
    </row>
    <row r="30">
      <c r="A30" s="5" t="inlineStr">
        <is>
          <t>Pilotes</t>
        </is>
      </c>
      <c r="B30" s="5" t="inlineStr">
        <is>
          <t>P3 Cabeza (CYPE forces) etot (eje x)</t>
        </is>
      </c>
      <c r="C30" s="21" t="n">
        <v>570.11</v>
      </c>
      <c r="D30" s="21" t="n">
        <v>570.12</v>
      </c>
      <c r="E30" s="22" t="n">
        <v>-0.00095778</v>
      </c>
      <c r="F30" s="12" t="inlineStr">
        <is>
          <t>PASS</t>
        </is>
      </c>
      <c r="G30" s="5" t="inlineStr">
        <is>
          <t>datos de CYPE (reproducción exacta)</t>
        </is>
      </c>
      <c r="H30" s="5" t="inlineStr">
        <is>
          <t>P245 table: [Comprobación del estado limite de inestabilidad &gt; En el eje x] etot</t>
        </is>
      </c>
      <c r="I30" s="5" t="inlineStr"/>
      <c r="M30" t="n">
        <v>570.12</v>
      </c>
      <c r="N30" t="n">
        <v>570.11</v>
      </c>
      <c r="O30" t="n">
        <v>80.90000000000001</v>
      </c>
      <c r="P30" t="n">
        <v>79.301</v>
      </c>
    </row>
    <row r="31">
      <c r="A31" s="5" t="inlineStr">
        <is>
          <t>Pilotes</t>
        </is>
      </c>
      <c r="B31" s="5" t="inlineStr">
        <is>
          <t>P3 Cabeza (CYPE forces) etot (eje y)</t>
        </is>
      </c>
      <c r="C31" s="21" t="n">
        <v>-111.21</v>
      </c>
      <c r="D31" s="21" t="n">
        <v>-111.2</v>
      </c>
      <c r="E31" s="22" t="n">
        <v>-0.0066</v>
      </c>
      <c r="F31" s="12" t="inlineStr">
        <is>
          <t>PASS</t>
        </is>
      </c>
      <c r="G31" s="5" t="inlineStr">
        <is>
          <t>datos de CYPE (reproducción exacta)</t>
        </is>
      </c>
      <c r="H31" s="5" t="inlineStr">
        <is>
          <t>P245 table: [Comprobación del estado limite de inestabilidad &gt; En el eje y] etot</t>
        </is>
      </c>
      <c r="I31" s="5" t="inlineStr"/>
      <c r="M31" t="n">
        <v>111.2</v>
      </c>
      <c r="N31" t="n">
        <v>111.21</v>
      </c>
      <c r="O31" t="n">
        <v>84.3</v>
      </c>
      <c r="P31" t="n">
        <v>83.675</v>
      </c>
    </row>
    <row r="32">
      <c r="A32" s="5" t="inlineStr">
        <is>
          <t>Pilotes</t>
        </is>
      </c>
      <c r="B32" s="5" t="inlineStr">
        <is>
          <t>P3 Cabeza (CYPE forces) MSd,x</t>
        </is>
      </c>
      <c r="C32" s="21" t="n">
        <v>353.51</v>
      </c>
      <c r="D32" s="21" t="n">
        <v>353.51</v>
      </c>
      <c r="E32" s="22" t="n">
        <v>-0.00135</v>
      </c>
      <c r="F32" s="12" t="inlineStr">
        <is>
          <t>PASS</t>
        </is>
      </c>
      <c r="G32" s="5" t="inlineStr">
        <is>
          <t>datos de CYPE (reproducción exacta)</t>
        </is>
      </c>
      <c r="H32" s="5" t="inlineStr">
        <is>
          <t>P245 table: [Comprobación del estado limite de inestabilidad] MSd,x</t>
        </is>
      </c>
      <c r="I32" s="5" t="inlineStr"/>
      <c r="M32" t="n">
        <v>353.51</v>
      </c>
      <c r="N32" t="n">
        <v>353.51</v>
      </c>
      <c r="O32" t="n">
        <v>82.5</v>
      </c>
      <c r="P32" t="n">
        <v>81.13</v>
      </c>
    </row>
    <row r="33">
      <c r="A33" s="5" t="inlineStr">
        <is>
          <t>Pilotes</t>
        </is>
      </c>
      <c r="B33" s="5" t="inlineStr">
        <is>
          <t>P3 Cabeza (CYPE forces) MSd,y</t>
        </is>
      </c>
      <c r="C33" s="21" t="n">
        <v>-68.955</v>
      </c>
      <c r="D33" s="21" t="n">
        <v>-68.95</v>
      </c>
      <c r="E33" s="22" t="n">
        <v>-0.00757</v>
      </c>
      <c r="F33" s="12" t="inlineStr">
        <is>
          <t>PASS</t>
        </is>
      </c>
      <c r="G33" s="5" t="inlineStr">
        <is>
          <t>datos de CYPE (reproducción exacta)</t>
        </is>
      </c>
      <c r="H33" s="5" t="inlineStr">
        <is>
          <t>P245 table: [Comprobación del estado limite de inestabilidad] MSd,y</t>
        </is>
      </c>
      <c r="I33" s="5" t="inlineStr"/>
      <c r="M33" t="n">
        <v>68.95</v>
      </c>
      <c r="N33" t="n">
        <v>68.955</v>
      </c>
      <c r="O33" t="n">
        <v>82</v>
      </c>
      <c r="P33" t="n">
        <v>81.59999999999999</v>
      </c>
    </row>
    <row r="34">
      <c r="A34" s="5" t="inlineStr">
        <is>
          <t>Pilotes</t>
        </is>
      </c>
      <c r="B34" s="5" t="inlineStr">
        <is>
          <t>P3 Cabeza (CYPE forces) 2nd order NRd</t>
        </is>
      </c>
      <c r="C34" s="21" t="n">
        <v>679.15</v>
      </c>
      <c r="D34" s="21" t="n">
        <v>679.16</v>
      </c>
      <c r="E34" s="22" t="n">
        <v>-0.00111</v>
      </c>
      <c r="F34" s="12" t="inlineStr">
        <is>
          <t>PASS</t>
        </is>
      </c>
      <c r="G34" s="5" t="inlineStr">
        <is>
          <t>datos de CYPE (reproducción exacta)</t>
        </is>
      </c>
      <c r="H34" s="5" t="inlineStr">
        <is>
          <t>P245 table: [Comprobación del estado limite de inestabilidad] NRd</t>
        </is>
      </c>
      <c r="I34" s="5" t="inlineStr"/>
      <c r="M34" t="n">
        <v>679.16</v>
      </c>
      <c r="N34" t="n">
        <v>679.15</v>
      </c>
      <c r="O34" t="n">
        <v>81.90000000000001</v>
      </c>
      <c r="P34" t="n">
        <v>80.399</v>
      </c>
    </row>
    <row r="35">
      <c r="A35" s="5" t="inlineStr">
        <is>
          <t>Pilotes</t>
        </is>
      </c>
      <c r="B35" s="5" t="inlineStr">
        <is>
          <t>P3 Cabeza (CYPE forces) 2nd order MRd,x</t>
        </is>
      </c>
      <c r="C35" s="21" t="n">
        <v>387.19</v>
      </c>
      <c r="D35" s="21" t="n">
        <v>387.2</v>
      </c>
      <c r="E35" s="22" t="n">
        <v>-0.00137</v>
      </c>
      <c r="F35" s="12" t="inlineStr">
        <is>
          <t>PASS</t>
        </is>
      </c>
      <c r="G35" s="5" t="inlineStr">
        <is>
          <t>datos de CYPE (reproducción exacta)</t>
        </is>
      </c>
      <c r="H35" s="5" t="inlineStr">
        <is>
          <t>P245 table: [Comprobación del estado limite de inestabilidad] MRd,x</t>
        </is>
      </c>
      <c r="I35" s="5" t="inlineStr"/>
      <c r="M35" t="n">
        <v>387.2</v>
      </c>
      <c r="N35" t="n">
        <v>387.19</v>
      </c>
      <c r="O35" t="n">
        <v>7.9</v>
      </c>
      <c r="P35" t="n">
        <v>7.866</v>
      </c>
    </row>
    <row r="36">
      <c r="A36" s="5" t="inlineStr">
        <is>
          <t>Pilotes</t>
        </is>
      </c>
      <c r="B36" s="5" t="inlineStr">
        <is>
          <t>P3 Cabeza (CYPE forces) 2nd order MRd,y</t>
        </is>
      </c>
      <c r="C36" s="21" t="n">
        <v>-75.527</v>
      </c>
      <c r="D36" s="21" t="n">
        <v>-75.52</v>
      </c>
      <c r="E36" s="22" t="n">
        <v>-0.008920000000000001</v>
      </c>
      <c r="F36" s="12" t="inlineStr">
        <is>
          <t>PASS</t>
        </is>
      </c>
      <c r="G36" s="5" t="inlineStr">
        <is>
          <t>datos de CYPE (reproducción exacta)</t>
        </is>
      </c>
      <c r="H36" s="5" t="inlineStr">
        <is>
          <t>P245 table: [Comprobación del estado limite de inestabilidad] MRd,y</t>
        </is>
      </c>
      <c r="I36" s="5" t="inlineStr"/>
      <c r="M36" t="n">
        <v>75.52</v>
      </c>
      <c r="N36" t="n">
        <v>75.527</v>
      </c>
      <c r="O36" t="n">
        <v>92.5</v>
      </c>
      <c r="P36" t="n">
        <v>92.01900000000001</v>
      </c>
    </row>
    <row r="37">
      <c r="A37" s="5" t="inlineStr">
        <is>
          <t>Pilotes</t>
        </is>
      </c>
      <c r="B37" s="5" t="inlineStr">
        <is>
          <t>P3 Cabeza (CYPE forces) η2 instability</t>
        </is>
      </c>
      <c r="C37" s="21" t="n">
        <v>0.91299</v>
      </c>
      <c r="D37" s="21" t="n">
        <v>0.913</v>
      </c>
      <c r="E37" s="22" t="n">
        <v>-0.0009974300000000001</v>
      </c>
      <c r="F37" s="12" t="inlineStr">
        <is>
          <t>PASS</t>
        </is>
      </c>
      <c r="G37" s="5" t="inlineStr">
        <is>
          <t>datos de CYPE (reproducción exacta)</t>
        </is>
      </c>
      <c r="H37" s="5" t="inlineStr">
        <is>
          <t>P242 table: η (occurrence 2)</t>
        </is>
      </c>
      <c r="I37" s="5" t="inlineStr"/>
      <c r="M37" t="n">
        <v>0.913</v>
      </c>
      <c r="N37" t="n">
        <v>0.91299</v>
      </c>
      <c r="O37" t="n">
        <v>55.2</v>
      </c>
      <c r="P37" t="n">
        <v>54.922</v>
      </c>
    </row>
    <row r="38">
      <c r="A38" s="5" t="inlineStr">
        <is>
          <t>Pilotes</t>
        </is>
      </c>
      <c r="B38" s="5" t="inlineStr">
        <is>
          <t>P3 Cabeza (CYPE forces) Cc at failure</t>
        </is>
      </c>
      <c r="C38" s="21" t="n">
        <v>1422.96</v>
      </c>
      <c r="D38" s="21" t="n">
        <v>1422.97</v>
      </c>
      <c r="E38" s="22" t="n">
        <v>-0.00089291</v>
      </c>
      <c r="F38" s="12" t="inlineStr">
        <is>
          <t>PASS</t>
        </is>
      </c>
      <c r="G38" s="5" t="inlineStr">
        <is>
          <t>datos de CYPE (reproducción exacta)</t>
        </is>
      </c>
      <c r="H38" s="5" t="inlineStr">
        <is>
          <t>P260 table: Cc Resultante</t>
        </is>
      </c>
      <c r="I38" s="5" t="inlineStr"/>
      <c r="M38" t="n">
        <v>1422.97</v>
      </c>
      <c r="N38" t="n">
        <v>1422.96</v>
      </c>
      <c r="O38" t="n">
        <v>91.90000000000001</v>
      </c>
      <c r="P38" t="n">
        <v>90.943</v>
      </c>
    </row>
    <row r="39">
      <c r="A39" s="5" t="inlineStr">
        <is>
          <t>Pilotes</t>
        </is>
      </c>
      <c r="B39" s="5" t="inlineStr">
        <is>
          <t>P3 Cabeza (CYPE forces) Cs at failure</t>
        </is>
      </c>
      <c r="C39" s="21" t="n">
        <v>536.85</v>
      </c>
      <c r="D39" s="21" t="n">
        <v>536.86</v>
      </c>
      <c r="E39" s="22" t="n">
        <v>-0.00189</v>
      </c>
      <c r="F39" s="12" t="inlineStr">
        <is>
          <t>PASS</t>
        </is>
      </c>
      <c r="G39" s="5" t="inlineStr">
        <is>
          <t>datos de CYPE (reproducción exacta)</t>
        </is>
      </c>
      <c r="H39" s="5" t="inlineStr">
        <is>
          <t>P260 table: Cs Resultante</t>
        </is>
      </c>
      <c r="I39" s="5" t="inlineStr"/>
      <c r="M39" t="n">
        <v>536.86</v>
      </c>
      <c r="N39" t="n">
        <v>536.85</v>
      </c>
      <c r="O39" t="n">
        <v>54.2</v>
      </c>
      <c r="P39" t="n">
        <v>54.016</v>
      </c>
    </row>
    <row r="40">
      <c r="A40" s="5" t="inlineStr">
        <is>
          <t>Pilotes</t>
        </is>
      </c>
      <c r="B40" s="5" t="inlineStr">
        <is>
          <t>P3 Cabeza (CYPE forces) T at failure</t>
        </is>
      </c>
      <c r="C40" s="21" t="n">
        <v>1280.65</v>
      </c>
      <c r="D40" s="21" t="n">
        <v>1280.67</v>
      </c>
      <c r="E40" s="22" t="n">
        <v>-0.00119</v>
      </c>
      <c r="F40" s="12" t="inlineStr">
        <is>
          <t>PASS</t>
        </is>
      </c>
      <c r="G40" s="5" t="inlineStr">
        <is>
          <t>datos de CYPE (reproducción exacta)</t>
        </is>
      </c>
      <c r="H40" s="5" t="inlineStr">
        <is>
          <t>P260 table: T Resultante</t>
        </is>
      </c>
      <c r="I40" s="5" t="inlineStr"/>
      <c r="M40" t="n">
        <v>1280.67</v>
      </c>
      <c r="N40" t="n">
        <v>1280.65</v>
      </c>
      <c r="O40" t="n">
        <v>90.7</v>
      </c>
      <c r="P40" t="n">
        <v>89.801</v>
      </c>
    </row>
    <row r="41">
      <c r="A41" s="5" t="inlineStr">
        <is>
          <t>Pilotes</t>
        </is>
      </c>
      <c r="B41" s="5" t="inlineStr">
        <is>
          <t>P3 Cabeza (CYPE forces) listing 'Aprov.' N,M (constant-N definition)</t>
        </is>
      </c>
      <c r="C41" s="21" t="n">
        <v>92.304</v>
      </c>
      <c r="D41" s="21" t="n">
        <v>92.5</v>
      </c>
      <c r="E41" s="22" t="n">
        <v>-0.21144</v>
      </c>
      <c r="F41" s="12" t="inlineStr">
        <is>
          <t>PASS</t>
        </is>
      </c>
      <c r="G41" s="5" t="inlineStr">
        <is>
          <t>datos de CYPE (reproducción exacta)</t>
        </is>
      </c>
      <c r="H41" s="5" t="inlineStr">
        <is>
          <t>P1752 table: Cabeza G, Q, V(3)</t>
        </is>
      </c>
      <c r="I41" s="5" t="inlineStr">
        <is>
          <t>spec C4; the ray definition gives 91.30</t>
        </is>
      </c>
      <c r="M41" t="n">
        <v>92.5</v>
      </c>
      <c r="N41" t="n">
        <v>92.304</v>
      </c>
      <c r="O41" t="n">
        <v>8.5</v>
      </c>
      <c r="P41" t="n">
        <v>8.432</v>
      </c>
    </row>
    <row r="42">
      <c r="A42" s="5" t="inlineStr">
        <is>
          <t>Pilotes</t>
        </is>
      </c>
      <c r="B42" s="5" t="inlineStr">
        <is>
          <t>P3 Cabeza (CYPE forces) VRd,max (z CYPE 249.16)</t>
        </is>
      </c>
      <c r="C42" s="21" t="n">
        <v>996.64</v>
      </c>
      <c r="D42" s="21" t="n">
        <v>996.63</v>
      </c>
      <c r="E42" s="22" t="n">
        <v>0.001</v>
      </c>
      <c r="F42" s="12" t="inlineStr">
        <is>
          <t>PASS</t>
        </is>
      </c>
      <c r="G42" s="5" t="inlineStr">
        <is>
          <t>datos de CYPE (reproducción exacta)</t>
        </is>
      </c>
      <c r="H42" s="5" t="inlineStr">
        <is>
          <t>P237 table: [Se debe satisfacer] VRd,max</t>
        </is>
      </c>
      <c r="I42" s="5" t="inlineStr"/>
      <c r="M42" t="n">
        <v>996.63</v>
      </c>
      <c r="N42" t="n">
        <v>996.64</v>
      </c>
      <c r="O42" t="n">
        <v>73.2</v>
      </c>
      <c r="P42" t="n">
        <v>72.157</v>
      </c>
    </row>
    <row r="43">
      <c r="A43" s="5" t="inlineStr">
        <is>
          <t>Pilotes</t>
        </is>
      </c>
      <c r="B43" s="5" t="inlineStr">
        <is>
          <t>P3 Cabeza (CYPE forces) η VRd,max</t>
        </is>
      </c>
      <c r="C43" s="21" t="n">
        <v>0.08565</v>
      </c>
      <c r="D43" s="21" t="n">
        <v>0.08599999999999999</v>
      </c>
      <c r="E43" s="22" t="n">
        <v>-0.403</v>
      </c>
      <c r="F43" s="12" t="inlineStr">
        <is>
          <t>PASS</t>
        </is>
      </c>
      <c r="G43" s="5" t="inlineStr">
        <is>
          <t>datos de CYPE (reproducción exacta)</t>
        </is>
      </c>
      <c r="H43" s="5" t="inlineStr">
        <is>
          <t>P237 table: [Se debe satisfacer] η (occurrence 1)</t>
        </is>
      </c>
      <c r="I43" s="5" t="inlineStr"/>
      <c r="M43" t="n">
        <v>0.08599999999999999</v>
      </c>
      <c r="N43" t="n">
        <v>0.08565</v>
      </c>
      <c r="O43" t="n">
        <v>75.40000000000001</v>
      </c>
      <c r="P43" t="n">
        <v>75.429</v>
      </c>
    </row>
    <row r="44">
      <c r="A44" s="5" t="inlineStr">
        <is>
          <t>Pilotes</t>
        </is>
      </c>
      <c r="B44" s="5" t="inlineStr">
        <is>
          <t>P3 Cabeza (CYPE forces) σcp for αcw, dir X</t>
        </is>
      </c>
      <c r="C44" s="21" t="n">
        <v>-12.131</v>
      </c>
      <c r="D44" s="21" t="n">
        <v>-12.13</v>
      </c>
      <c r="E44" s="22" t="n">
        <v>-0.01139</v>
      </c>
      <c r="F44" s="12" t="inlineStr">
        <is>
          <t>PASS</t>
        </is>
      </c>
      <c r="G44" s="5" t="inlineStr">
        <is>
          <t>datos de CYPE (reproducción exacta)</t>
        </is>
      </c>
      <c r="H44" s="5" t="inlineStr">
        <is>
          <t>P237 table: [Esfuerzo cortante de agotamiento por compresión oblicua e... &gt; Cortante en la dirección X] σcp</t>
        </is>
      </c>
      <c r="I44" s="5" t="inlineStr"/>
      <c r="M44" t="n">
        <v>12.13</v>
      </c>
      <c r="N44" t="n">
        <v>12.131</v>
      </c>
      <c r="O44" t="n">
        <v>77.09999999999999</v>
      </c>
      <c r="P44" t="n">
        <v>76.02800000000001</v>
      </c>
    </row>
    <row r="45">
      <c r="A45" s="5" t="inlineStr">
        <is>
          <t>Pilotes</t>
        </is>
      </c>
      <c r="B45" s="5" t="inlineStr">
        <is>
          <t>P3 Cabeza (CYPE forces) σcp for αcw, dir Y</t>
        </is>
      </c>
      <c r="C45" s="21" t="n">
        <v>-1.46</v>
      </c>
      <c r="D45" s="21" t="n">
        <v>-1.46</v>
      </c>
      <c r="E45" s="22" t="n">
        <v>-0.01441</v>
      </c>
      <c r="F45" s="12" t="inlineStr">
        <is>
          <t>PASS</t>
        </is>
      </c>
      <c r="G45" s="5" t="inlineStr">
        <is>
          <t>datos de CYPE (reproducción exacta)</t>
        </is>
      </c>
      <c r="H45" s="5" t="inlineStr">
        <is>
          <t>P237 table: [Esfuerzo cortante de agotamiento por compresión oblicua e... &gt; Cortante en la dirección Y] σcp</t>
        </is>
      </c>
      <c r="I45" s="5" t="inlineStr"/>
      <c r="M45" t="n">
        <v>1.46</v>
      </c>
      <c r="N45" t="n">
        <v>1.46</v>
      </c>
      <c r="O45" t="n">
        <v>73.5</v>
      </c>
      <c r="P45" t="n">
        <v>73.63500000000001</v>
      </c>
    </row>
    <row r="46">
      <c r="A46" s="5" t="inlineStr">
        <is>
          <t>Pilotes</t>
        </is>
      </c>
      <c r="B46" s="5" t="inlineStr">
        <is>
          <t>P3 Cabeza (CYPE forces) VRd,max with z = 0.9·d (CE)</t>
        </is>
      </c>
      <c r="C46" s="21" t="n">
        <v>949.5</v>
      </c>
      <c r="D46" s="21" t="n">
        <v>996.64</v>
      </c>
      <c r="E46" s="22" t="n">
        <v>-4.73</v>
      </c>
      <c r="F46" s="26" t="inlineStr">
        <is>
          <t>INFO</t>
        </is>
      </c>
      <c r="G46" s="5" t="inlineStr">
        <is>
          <t>datos de CYPE (reproducción exacta)</t>
        </is>
      </c>
      <c r="H46" s="5" t="inlineStr">
        <is>
          <t>C12 (INFO)</t>
        </is>
      </c>
      <c r="I46" s="5" t="inlineStr">
        <is>
          <t>code-strict alternative, used for the verdict</t>
        </is>
      </c>
      <c r="M46" t="n">
        <v>142.85</v>
      </c>
      <c r="N46" t="n">
        <v>142.85</v>
      </c>
      <c r="O46" t="n">
        <v>76.40000000000001</v>
      </c>
      <c r="P46" t="n">
        <v>75.32899999999999</v>
      </c>
    </row>
    <row r="47">
      <c r="A47" s="5" t="inlineStr">
        <is>
          <t>Pilotes</t>
        </is>
      </c>
      <c r="B47" s="5" t="inlineStr">
        <is>
          <t>P3 Cabeza (CYPE forces) VRd,c (CYPE label VRd,s)</t>
        </is>
      </c>
      <c r="C47" s="21" t="n">
        <v>142.85</v>
      </c>
      <c r="D47" s="21" t="n">
        <v>142.85</v>
      </c>
      <c r="E47" s="22" t="n">
        <v>-4.068e-05</v>
      </c>
      <c r="F47" s="12" t="inlineStr">
        <is>
          <t>PASS</t>
        </is>
      </c>
      <c r="G47" s="5" t="inlineStr">
        <is>
          <t>datos de CYPE (reproducción exacta)</t>
        </is>
      </c>
      <c r="H47" s="5" t="inlineStr">
        <is>
          <t>P237 table: [Esfuerzo cortante de agotamiento por tracción en el alma &gt; Cortante en la dirección X] VRd,s (occurrence 1)</t>
        </is>
      </c>
      <c r="I47" s="5" t="inlineStr"/>
      <c r="M47" t="n">
        <v>99.73</v>
      </c>
      <c r="N47" t="n">
        <v>99.72799999999999</v>
      </c>
      <c r="O47" t="n">
        <v>7.4</v>
      </c>
      <c r="P47" t="n">
        <v>7.398</v>
      </c>
    </row>
    <row r="48">
      <c r="A48" s="5" t="inlineStr">
        <is>
          <t>Pilotes</t>
        </is>
      </c>
      <c r="B48" s="5" t="inlineStr">
        <is>
          <t>P3 Cabeza (CYPE forces) VRd,c minimum</t>
        </is>
      </c>
      <c r="C48" s="21" t="n">
        <v>99.72799999999999</v>
      </c>
      <c r="D48" s="21" t="n">
        <v>99.73</v>
      </c>
      <c r="E48" s="22" t="n">
        <v>-0.0022</v>
      </c>
      <c r="F48" s="12" t="inlineStr">
        <is>
          <t>PASS</t>
        </is>
      </c>
      <c r="G48" s="5" t="inlineStr">
        <is>
          <t>datos de CYPE (reproducción exacta)</t>
        </is>
      </c>
      <c r="H48" s="5" t="inlineStr">
        <is>
          <t>P237 table: [Esfuerzo cortante de agotamiento por tracción en el alma &gt; Cortante en la dirección X] VRd,s (occurrence 2)</t>
        </is>
      </c>
      <c r="I48" s="5" t="inlineStr"/>
      <c r="M48" t="n">
        <v>1.871</v>
      </c>
      <c r="N48" t="n">
        <v>1.871</v>
      </c>
      <c r="O48" t="n">
        <v>87</v>
      </c>
      <c r="P48" t="n">
        <v>85.727</v>
      </c>
    </row>
    <row r="49">
      <c r="A49" s="5" t="inlineStr">
        <is>
          <t>Pilotes</t>
        </is>
      </c>
      <c r="B49" s="5" t="inlineStr">
        <is>
          <t>P3 Cabeza (CYPE forces) k</t>
        </is>
      </c>
      <c r="C49" s="21" t="n">
        <v>1.871</v>
      </c>
      <c r="D49" s="21" t="n">
        <v>1.871</v>
      </c>
      <c r="E49" s="22" t="n">
        <v>-0.01065</v>
      </c>
      <c r="F49" s="12" t="inlineStr">
        <is>
          <t>PASS</t>
        </is>
      </c>
      <c r="G49" s="5" t="inlineStr">
        <is>
          <t>datos de CYPE (reproducción exacta)</t>
        </is>
      </c>
      <c r="H49" s="5" t="inlineStr">
        <is>
          <t>P237 table: [Esfuerzo cortante de agotamiento por tracción en el alma &gt; Cortante en la dirección X] k</t>
        </is>
      </c>
      <c r="I49" s="5" t="inlineStr"/>
      <c r="M49" t="n">
        <v>0.02</v>
      </c>
      <c r="N49" t="n">
        <v>0.02</v>
      </c>
      <c r="O49" t="n">
        <v>52.6</v>
      </c>
      <c r="P49" t="n">
        <v>52.539</v>
      </c>
    </row>
    <row r="50">
      <c r="A50" s="5" t="inlineStr">
        <is>
          <t>Pilotes</t>
        </is>
      </c>
      <c r="B50" s="5" t="inlineStr">
        <is>
          <t>P3 Cabeza (CYPE forces) ρl</t>
        </is>
      </c>
      <c r="C50" s="21" t="n">
        <v>0.02</v>
      </c>
      <c r="D50" s="21" t="n">
        <v>0.02</v>
      </c>
      <c r="E50" s="22" t="n">
        <v>0</v>
      </c>
      <c r="F50" s="12" t="inlineStr">
        <is>
          <t>PASS</t>
        </is>
      </c>
      <c r="G50" s="5" t="inlineStr">
        <is>
          <t>datos de CYPE (reproducción exacta)</t>
        </is>
      </c>
      <c r="H50" s="5" t="inlineStr">
        <is>
          <t>P237 table: [Esfuerzo cortante de agotamiento por tracción en el alma &gt; Cortante en la dirección X] ρl</t>
        </is>
      </c>
      <c r="I50" s="5" t="inlineStr"/>
      <c r="M50" t="n">
        <v>2.08</v>
      </c>
      <c r="N50" t="n">
        <v>2.08</v>
      </c>
      <c r="O50" t="n">
        <v>88</v>
      </c>
      <c r="P50" t="n">
        <v>86.53400000000001</v>
      </c>
    </row>
    <row r="51">
      <c r="A51" s="5" t="inlineStr">
        <is>
          <t>Pilotes</t>
        </is>
      </c>
      <c r="B51" s="5" t="inlineStr">
        <is>
          <t>P3 Cabeza (CYPE forces) σcp</t>
        </is>
      </c>
      <c r="C51" s="21" t="n">
        <v>2.08</v>
      </c>
      <c r="D51" s="21" t="n">
        <v>2.08</v>
      </c>
      <c r="E51" s="22" t="n">
        <v>0.003</v>
      </c>
      <c r="F51" s="12" t="inlineStr">
        <is>
          <t>PASS</t>
        </is>
      </c>
      <c r="G51" s="5" t="inlineStr">
        <is>
          <t>datos de CYPE (reproducción exacta)</t>
        </is>
      </c>
      <c r="H51" s="5" t="inlineStr">
        <is>
          <t>P237 table: [Esfuerzo cortante de agotamiento por tracción en el alma &gt; Cortante en la dirección X] σcp</t>
        </is>
      </c>
      <c r="I51" s="5" t="inlineStr"/>
      <c r="M51" t="n">
        <v>0.63</v>
      </c>
      <c r="N51" t="n">
        <v>0.63328</v>
      </c>
      <c r="O51" t="n">
        <v>51.7</v>
      </c>
      <c r="P51" t="n">
        <v>51.673</v>
      </c>
    </row>
    <row r="52">
      <c r="A52" s="5" t="inlineStr">
        <is>
          <t>Pilotes</t>
        </is>
      </c>
      <c r="B52" s="5" t="inlineStr">
        <is>
          <t>P3 Cabeza (CYPE forces) vmin</t>
        </is>
      </c>
      <c r="C52" s="21" t="n">
        <v>0.63328</v>
      </c>
      <c r="D52" s="21" t="n">
        <v>0.63</v>
      </c>
      <c r="E52" s="22" t="n">
        <v>0.5203</v>
      </c>
      <c r="F52" s="12" t="inlineStr">
        <is>
          <t>PASS</t>
        </is>
      </c>
      <c r="G52" s="5" t="inlineStr">
        <is>
          <t>datos de CYPE (reproducción exacta)</t>
        </is>
      </c>
      <c r="H52" s="5" t="inlineStr">
        <is>
          <t>P237 table: [Esfuerzo cortante de agotamiento por tracción en el alma &gt; Cortante en la dirección X] Vmin</t>
        </is>
      </c>
      <c r="I52" s="5" t="inlineStr"/>
      <c r="M52" t="n">
        <v>263.75</v>
      </c>
      <c r="N52" t="n">
        <v>263.75</v>
      </c>
      <c r="O52" t="n">
        <v>86.90000000000001</v>
      </c>
      <c r="P52" t="n">
        <v>85.443</v>
      </c>
    </row>
    <row r="53">
      <c r="A53" s="5" t="inlineStr">
        <is>
          <t>Pilotes</t>
        </is>
      </c>
      <c r="B53" s="5" t="inlineStr">
        <is>
          <t>P3 Cabeza (CYPE forces) d (VRd,c)</t>
        </is>
      </c>
      <c r="C53" s="21" t="n">
        <v>263.75</v>
      </c>
      <c r="D53" s="21" t="n">
        <v>263.75</v>
      </c>
      <c r="E53" s="22" t="n">
        <v>0</v>
      </c>
      <c r="F53" s="12" t="inlineStr">
        <is>
          <t>PASS</t>
        </is>
      </c>
      <c r="G53" s="5" t="inlineStr">
        <is>
          <t>datos de CYPE (reproducción exacta)</t>
        </is>
      </c>
      <c r="H53" s="5" t="inlineStr">
        <is>
          <t>P237 table: [Esfuerzo cortante de agotamiento por tracción en el alma &gt; Cortante en la dirección X] d</t>
        </is>
      </c>
      <c r="I53" s="5" t="inlineStr"/>
      <c r="M53" t="n">
        <v>39.27</v>
      </c>
      <c r="N53" t="n">
        <v>39.27</v>
      </c>
      <c r="O53" t="n">
        <v>8.1</v>
      </c>
      <c r="P53" t="n">
        <v>8.038</v>
      </c>
    </row>
    <row r="54">
      <c r="A54" s="5" t="inlineStr">
        <is>
          <t>Pilotes</t>
        </is>
      </c>
      <c r="B54" s="5" t="inlineStr">
        <is>
          <t>P3 Cabeza (CYPE forces) Asl (8Ø25)</t>
        </is>
      </c>
      <c r="C54" s="21" t="n">
        <v>39.27</v>
      </c>
      <c r="D54" s="21" t="n">
        <v>39.27</v>
      </c>
      <c r="E54" s="22" t="n">
        <v>-0.00023384</v>
      </c>
      <c r="F54" s="12" t="inlineStr">
        <is>
          <t>PASS</t>
        </is>
      </c>
      <c r="G54" s="5" t="inlineStr">
        <is>
          <t>datos de CYPE (reproducción exacta)</t>
        </is>
      </c>
      <c r="H54" s="5" t="inlineStr">
        <is>
          <t>P237 table: [Esfuerzo cortante de agotamiento por tracción en el alma &gt; Cortante en la dirección X] Asl</t>
        </is>
      </c>
      <c r="I54" s="5" t="inlineStr"/>
      <c r="M54" t="n">
        <v>0.552</v>
      </c>
      <c r="N54" t="n">
        <v>0.55205</v>
      </c>
      <c r="O54" t="n">
        <v>73.90000000000001</v>
      </c>
      <c r="P54" t="n">
        <v>72.586</v>
      </c>
    </row>
    <row r="55">
      <c r="A55" s="5" t="inlineStr">
        <is>
          <t>Pilotes</t>
        </is>
      </c>
      <c r="B55" s="5" t="inlineStr">
        <is>
          <t>P3 Cabeza (CYPE forces) η VRd,c</t>
        </is>
      </c>
      <c r="C55" s="21" t="n">
        <v>0.55205</v>
      </c>
      <c r="D55" s="21" t="n">
        <v>0.552</v>
      </c>
      <c r="E55" s="22" t="n">
        <v>0.00959</v>
      </c>
      <c r="F55" s="12" t="inlineStr">
        <is>
          <t>PASS</t>
        </is>
      </c>
      <c r="G55" s="5" t="inlineStr">
        <is>
          <t>datos de CYPE (reproducción exacta)</t>
        </is>
      </c>
      <c r="H55" s="5" t="inlineStr">
        <is>
          <t>P237 table: [Se debe satisfacer] η (occurrence 2)</t>
        </is>
      </c>
      <c r="I55" s="5" t="inlineStr"/>
      <c r="M55" t="n">
        <v>6.4</v>
      </c>
      <c r="N55" t="n">
        <v>6.4</v>
      </c>
      <c r="O55" t="n">
        <v>76.90000000000001</v>
      </c>
      <c r="P55" t="n">
        <v>76.56699999999999</v>
      </c>
    </row>
    <row r="56">
      <c r="A56" s="5" t="inlineStr">
        <is>
          <t>Pilotes</t>
        </is>
      </c>
      <c r="B56" s="5" t="inlineStr">
        <is>
          <t>P3 As,min = 0.004·Ac (AN)</t>
        </is>
      </c>
      <c r="C56" s="21" t="n">
        <v>6.4</v>
      </c>
      <c r="D56" s="21" t="n">
        <v>6.4</v>
      </c>
      <c r="E56" s="22" t="n">
        <v>0</v>
      </c>
      <c r="F56" s="12" t="inlineStr">
        <is>
          <t>PASS</t>
        </is>
      </c>
      <c r="G56" s="5" t="inlineStr">
        <is>
          <t>datos de CYPE (reproducción exacta)</t>
        </is>
      </c>
      <c r="H56" s="5" t="inlineStr">
        <is>
          <t>P232 table: As,min</t>
        </is>
      </c>
      <c r="I56" s="5" t="inlineStr"/>
      <c r="M56" t="n">
        <v>122.67</v>
      </c>
      <c r="N56" t="n">
        <v>122.67</v>
      </c>
      <c r="O56" t="n">
        <v>77.2</v>
      </c>
      <c r="P56" t="n">
        <v>75.958</v>
      </c>
    </row>
    <row r="57">
      <c r="A57" s="5" t="inlineStr">
        <is>
          <t>Pilotes</t>
        </is>
      </c>
      <c r="B57" s="5" t="inlineStr">
        <is>
          <t>P3 As,max = fcd·Ac/fyd (AN)</t>
        </is>
      </c>
      <c r="C57" s="21" t="n">
        <v>122.67</v>
      </c>
      <c r="D57" s="21" t="n">
        <v>122.67</v>
      </c>
      <c r="E57" s="22" t="n">
        <v>-0.00272</v>
      </c>
      <c r="F57" s="12" t="inlineStr">
        <is>
          <t>PASS</t>
        </is>
      </c>
      <c r="G57" s="5" t="inlineStr">
        <is>
          <t>datos de CYPE (reproducción exacta)</t>
        </is>
      </c>
      <c r="H57" s="5" t="inlineStr">
        <is>
          <t>P232 table: [El área de la armadura longitudinal As no debería superar] As,max</t>
        </is>
      </c>
      <c r="I57" s="5" t="inlineStr"/>
      <c r="M57" t="n">
        <v>1.55</v>
      </c>
      <c r="N57" t="n">
        <v>1.55</v>
      </c>
      <c r="O57" t="n">
        <v>74.8</v>
      </c>
      <c r="P57" t="n">
        <v>74.709</v>
      </c>
    </row>
    <row r="58">
      <c r="A58" s="5" t="inlineStr">
        <is>
          <t>Pilotes</t>
        </is>
      </c>
      <c r="B58" s="5" t="inlineStr">
        <is>
          <t>P3 A's,min = 0.10·NEd/fyd</t>
        </is>
      </c>
      <c r="C58" s="21" t="n">
        <v>1.55</v>
      </c>
      <c r="D58" s="21" t="n">
        <v>1.55</v>
      </c>
      <c r="E58" s="22" t="n">
        <v>-0.00194</v>
      </c>
      <c r="F58" s="12" t="inlineStr">
        <is>
          <t>PASS</t>
        </is>
      </c>
      <c r="G58" s="5" t="inlineStr">
        <is>
          <t>datos de CYPE (reproducción exacta)</t>
        </is>
      </c>
      <c r="H58" s="5" t="inlineStr">
        <is>
          <t>P232 table: [El área total de la armadura longitudinal A's] As,min</t>
        </is>
      </c>
      <c r="I58" s="5" t="inlineStr"/>
      <c r="M58" t="n">
        <v>58.91</v>
      </c>
      <c r="N58" t="n">
        <v>58.905</v>
      </c>
      <c r="O58" t="n">
        <v>76.5</v>
      </c>
      <c r="P58" t="n">
        <v>75.209</v>
      </c>
    </row>
    <row r="59">
      <c r="A59" s="5" t="inlineStr">
        <is>
          <t>Pilotes</t>
        </is>
      </c>
      <c r="B59" s="5" t="inlineStr">
        <is>
          <t>P3 As provided</t>
        </is>
      </c>
      <c r="C59" s="21" t="n">
        <v>58.905</v>
      </c>
      <c r="D59" s="21" t="n">
        <v>58.91</v>
      </c>
      <c r="E59" s="22" t="n">
        <v>-0.00872</v>
      </c>
      <c r="F59" s="12" t="inlineStr">
        <is>
          <t>PASS</t>
        </is>
      </c>
      <c r="G59" s="5" t="inlineStr">
        <is>
          <t>datos de CYPE (reproducción exacta)</t>
        </is>
      </c>
      <c r="H59" s="5" t="inlineStr">
        <is>
          <t>P232 table: As</t>
        </is>
      </c>
      <c r="I59" s="5" t="inlineStr"/>
      <c r="M59" t="n">
        <v>60</v>
      </c>
      <c r="N59" t="n">
        <v>60</v>
      </c>
      <c r="O59" t="n">
        <v>7.4</v>
      </c>
      <c r="P59" t="n">
        <v>7.362</v>
      </c>
    </row>
    <row r="60">
      <c r="A60" s="5" t="inlineStr">
        <is>
          <t>Pilotes</t>
        </is>
      </c>
      <c r="B60" s="5" t="inlineStr">
        <is>
          <t>P3 clear spacing of bars</t>
        </is>
      </c>
      <c r="C60" s="21" t="n">
        <v>60</v>
      </c>
      <c r="D60" s="21" t="n">
        <v>60</v>
      </c>
      <c r="E60" s="22" t="n">
        <v>0</v>
      </c>
      <c r="F60" s="12" t="inlineStr">
        <is>
          <t>PASS</t>
        </is>
      </c>
      <c r="G60" s="5" t="inlineStr">
        <is>
          <t>datos de CYPE (reproducción exacta)</t>
        </is>
      </c>
      <c r="H60" s="5" t="inlineStr">
        <is>
          <t>P225 table: check 1 left</t>
        </is>
      </c>
      <c r="I60" s="5" t="inlineStr"/>
      <c r="M60" t="n">
        <v>25</v>
      </c>
      <c r="N60" t="n">
        <v>25</v>
      </c>
      <c r="O60" t="n">
        <v>88.2</v>
      </c>
      <c r="P60" t="n">
        <v>86.55500000000001</v>
      </c>
    </row>
    <row r="61">
      <c r="A61" s="5" t="inlineStr">
        <is>
          <t>Pilotes</t>
        </is>
      </c>
      <c r="B61" s="5" t="inlineStr">
        <is>
          <t>P3 smin (A19.8.2(2))</t>
        </is>
      </c>
      <c r="C61" s="21" t="n">
        <v>25</v>
      </c>
      <c r="D61" s="21" t="n">
        <v>25</v>
      </c>
      <c r="E61" s="22" t="n">
        <v>0</v>
      </c>
      <c r="F61" s="12" t="inlineStr">
        <is>
          <t>PASS</t>
        </is>
      </c>
      <c r="G61" s="5" t="inlineStr">
        <is>
          <t>datos de CYPE (reproducción exacta)</t>
        </is>
      </c>
      <c r="H61" s="5" t="inlineStr">
        <is>
          <t>P225 table: smin</t>
        </is>
      </c>
      <c r="I61" s="5" t="inlineStr"/>
      <c r="M61" t="n">
        <v>300</v>
      </c>
      <c r="N61" t="n">
        <v>300</v>
      </c>
      <c r="O61" t="n">
        <v>53.6</v>
      </c>
      <c r="P61" t="n">
        <v>53.466</v>
      </c>
    </row>
    <row r="62">
      <c r="A62" s="5" t="inlineStr">
        <is>
          <t>Pilotes</t>
        </is>
      </c>
      <c r="B62" s="5" t="inlineStr">
        <is>
          <t>P3 scl,max</t>
        </is>
      </c>
      <c r="C62" s="21" t="n">
        <v>300</v>
      </c>
      <c r="D62" s="21" t="n">
        <v>300</v>
      </c>
      <c r="E62" s="22" t="n">
        <v>0</v>
      </c>
      <c r="F62" s="12" t="inlineStr">
        <is>
          <t>PASS</t>
        </is>
      </c>
      <c r="G62" s="5" t="inlineStr">
        <is>
          <t>datos de CYPE (reproducción exacta)</t>
        </is>
      </c>
      <c r="H62" s="5" t="inlineStr">
        <is>
          <t>P227 table: [La separación de la armadura transversal] scl,max</t>
        </is>
      </c>
      <c r="I62" s="5" t="inlineStr"/>
      <c r="M62" t="n">
        <v>6.3</v>
      </c>
      <c r="N62" t="n">
        <v>6.25</v>
      </c>
      <c r="O62" t="n">
        <v>88</v>
      </c>
      <c r="P62" t="n">
        <v>86.453</v>
      </c>
    </row>
    <row r="63">
      <c r="A63" s="5" t="inlineStr">
        <is>
          <t>Pilotes</t>
        </is>
      </c>
      <c r="B63" s="5" t="inlineStr">
        <is>
          <t>P3 Øt,min = Ømax/4</t>
        </is>
      </c>
      <c r="C63" s="21" t="n">
        <v>6.25</v>
      </c>
      <c r="D63" s="21" t="n">
        <v>6.3</v>
      </c>
      <c r="E63" s="22" t="n">
        <v>-0.79365</v>
      </c>
      <c r="F63" s="12" t="inlineStr">
        <is>
          <t>PASS</t>
        </is>
      </c>
      <c r="G63" s="5" t="inlineStr">
        <is>
          <t>datos de CYPE (reproducción exacta)</t>
        </is>
      </c>
      <c r="H63" s="5" t="inlineStr">
        <is>
          <t>P227 table: check 3 right</t>
        </is>
      </c>
      <c r="I63" s="5" t="inlineStr">
        <is>
          <t>CYPE prints 6.3 (6.25)</t>
        </is>
      </c>
      <c r="M63" t="n">
        <v>140</v>
      </c>
      <c r="N63" t="n">
        <v>140</v>
      </c>
      <c r="O63" t="n">
        <v>52.7</v>
      </c>
      <c r="P63" t="n">
        <v>52.575</v>
      </c>
    </row>
    <row r="64">
      <c r="A64" s="5" t="inlineStr">
        <is>
          <t>Pilotes</t>
        </is>
      </c>
      <c r="B64" s="5" t="inlineStr">
        <is>
          <t>P3 clear distance between ties</t>
        </is>
      </c>
      <c r="C64" s="21" t="n">
        <v>140</v>
      </c>
      <c r="D64" s="21" t="n">
        <v>140</v>
      </c>
      <c r="E64" s="22" t="n">
        <v>0</v>
      </c>
      <c r="F64" s="12" t="inlineStr">
        <is>
          <t>PASS</t>
        </is>
      </c>
      <c r="G64" s="5" t="inlineStr">
        <is>
          <t>datos de CYPE (reproducción exacta)</t>
        </is>
      </c>
      <c r="H64" s="5" t="inlineStr">
        <is>
          <t>P227 table: check 1 left</t>
        </is>
      </c>
      <c r="I64" s="5" t="inlineStr"/>
      <c r="M64" t="n">
        <v>432.56</v>
      </c>
      <c r="N64" t="n">
        <v>432.55</v>
      </c>
      <c r="O64" t="n">
        <v>86.90000000000001</v>
      </c>
      <c r="P64" t="n">
        <v>85.36499999999999</v>
      </c>
    </row>
    <row r="65">
      <c r="A65" s="5" t="inlineStr">
        <is>
          <t>Pilotes</t>
        </is>
      </c>
      <c r="B65" s="5" t="inlineStr">
        <is>
          <t>P3 Arranque (CYPE forces) 1st order ee,y (eje x)</t>
        </is>
      </c>
      <c r="C65" s="21" t="n">
        <v>-432.55</v>
      </c>
      <c r="D65" s="21" t="n">
        <v>-432.56</v>
      </c>
      <c r="E65" s="22" t="n">
        <v>0.00166</v>
      </c>
      <c r="F65" s="12" t="inlineStr">
        <is>
          <t>PASS</t>
        </is>
      </c>
      <c r="G65" s="5" t="inlineStr">
        <is>
          <t>datos de CYPE (reproducción exacta)</t>
        </is>
      </c>
      <c r="H65" s="5" t="inlineStr">
        <is>
          <t>P300 table: [Comprobación de resistencia de la sección] ee,y</t>
        </is>
      </c>
      <c r="I65" s="5" t="inlineStr"/>
      <c r="M65" t="n">
        <v>4.25</v>
      </c>
      <c r="N65" t="n">
        <v>4.256</v>
      </c>
      <c r="O65" t="n">
        <v>8.1</v>
      </c>
      <c r="P65" t="n">
        <v>8.097</v>
      </c>
    </row>
    <row r="66">
      <c r="A66" s="5" t="inlineStr">
        <is>
          <t>Pilotes</t>
        </is>
      </c>
      <c r="B66" s="5" t="inlineStr">
        <is>
          <t>P3 Arranque (CYPE forces) 1st order ee,x (eje y)</t>
        </is>
      </c>
      <c r="C66" s="21" t="n">
        <v>4.256</v>
      </c>
      <c r="D66" s="21" t="n">
        <v>4.25</v>
      </c>
      <c r="E66" s="22" t="n">
        <v>0.14043</v>
      </c>
      <c r="F66" s="12" t="inlineStr">
        <is>
          <t>PASS</t>
        </is>
      </c>
      <c r="G66" s="5" t="inlineStr">
        <is>
          <t>datos de CYPE (reproducción exacta)</t>
        </is>
      </c>
      <c r="H66" s="5" t="inlineStr">
        <is>
          <t>P300 table: [Comprobación de resistencia de la sección] ee,x</t>
        </is>
      </c>
      <c r="I66" s="5" t="inlineStr"/>
      <c r="M66" t="n">
        <v>1021.59</v>
      </c>
      <c r="N66" t="n">
        <v>1021.58</v>
      </c>
      <c r="O66" t="n">
        <v>70.90000000000001</v>
      </c>
      <c r="P66" t="n">
        <v>69.85899999999999</v>
      </c>
    </row>
    <row r="67">
      <c r="A67" s="5" t="inlineStr">
        <is>
          <t>Pilotes</t>
        </is>
      </c>
      <c r="B67" s="5" t="inlineStr">
        <is>
          <t>P3 Arranque (CYPE forces) 1st order NRd</t>
        </is>
      </c>
      <c r="C67" s="21" t="n">
        <v>1021.58</v>
      </c>
      <c r="D67" s="21" t="n">
        <v>1021.59</v>
      </c>
      <c r="E67" s="22" t="n">
        <v>-0.00142</v>
      </c>
      <c r="F67" s="12" t="inlineStr">
        <is>
          <t>PASS</t>
        </is>
      </c>
      <c r="G67" s="5" t="inlineStr">
        <is>
          <t>datos de CYPE (reproducción exacta)</t>
        </is>
      </c>
      <c r="H67" s="5" t="inlineStr">
        <is>
          <t>P300 table: [Comprobación de resistencia de la sección] NRd</t>
        </is>
      </c>
      <c r="I67" s="5" t="inlineStr"/>
      <c r="M67" t="n">
        <v>441.89</v>
      </c>
      <c r="N67" t="n">
        <v>441.89</v>
      </c>
      <c r="O67" t="n">
        <v>73.09999999999999</v>
      </c>
      <c r="P67" t="n">
        <v>73.029</v>
      </c>
    </row>
    <row r="68">
      <c r="A68" s="5" t="inlineStr">
        <is>
          <t>Pilotes</t>
        </is>
      </c>
      <c r="B68" s="5" t="inlineStr">
        <is>
          <t>P3 Arranque (CYPE forces) 1st order MRd,x</t>
        </is>
      </c>
      <c r="C68" s="21" t="n">
        <v>-441.89</v>
      </c>
      <c r="D68" s="21" t="n">
        <v>-441.89</v>
      </c>
      <c r="E68" s="22" t="n">
        <v>0.00105</v>
      </c>
      <c r="F68" s="12" t="inlineStr">
        <is>
          <t>PASS</t>
        </is>
      </c>
      <c r="G68" s="5" t="inlineStr">
        <is>
          <t>datos de CYPE (reproducción exacta)</t>
        </is>
      </c>
      <c r="H68" s="5" t="inlineStr">
        <is>
          <t>P300 table: [Comprobación de resistencia de la sección] MRd,x</t>
        </is>
      </c>
      <c r="I68" s="5" t="inlineStr"/>
      <c r="M68" t="n">
        <v>4.34</v>
      </c>
      <c r="N68" t="n">
        <v>4.348</v>
      </c>
      <c r="O68" t="n">
        <v>74.59999999999999</v>
      </c>
      <c r="P68" t="n">
        <v>73.624</v>
      </c>
    </row>
    <row r="69">
      <c r="A69" s="5" t="inlineStr">
        <is>
          <t>Pilotes</t>
        </is>
      </c>
      <c r="B69" s="5" t="inlineStr">
        <is>
          <t>P3 Arranque (CYPE forces) 1st order MRd,y</t>
        </is>
      </c>
      <c r="C69" s="21" t="n">
        <v>4.348</v>
      </c>
      <c r="D69" s="21" t="n">
        <v>4.34</v>
      </c>
      <c r="E69" s="22" t="n">
        <v>0.17956</v>
      </c>
      <c r="F69" s="12" t="inlineStr">
        <is>
          <t>PASS</t>
        </is>
      </c>
      <c r="G69" s="5" t="inlineStr">
        <is>
          <t>datos de CYPE (reproducción exacta)</t>
        </is>
      </c>
      <c r="H69" s="5" t="inlineStr">
        <is>
          <t>P300 table: [Comprobación de resistencia de la sección] MRd,y</t>
        </is>
      </c>
      <c r="I69" s="5" t="inlineStr">
        <is>
          <t>small component: half-unit/1 % tolerance</t>
        </is>
      </c>
      <c r="M69" t="n">
        <v>0.642</v>
      </c>
      <c r="N69" t="n">
        <v>0.6417</v>
      </c>
      <c r="O69" t="n">
        <v>71.2</v>
      </c>
      <c r="P69" t="n">
        <v>71.29000000000001</v>
      </c>
    </row>
    <row r="70">
      <c r="A70" s="5" t="inlineStr">
        <is>
          <t>Pilotes</t>
        </is>
      </c>
      <c r="B70" s="5" t="inlineStr">
        <is>
          <t>P3 Arranque (CYPE forces) η1 section resistance</t>
        </is>
      </c>
      <c r="C70" s="21" t="n">
        <v>0.6417</v>
      </c>
      <c r="D70" s="21" t="n">
        <v>0.642</v>
      </c>
      <c r="E70" s="22" t="n">
        <v>-0.04597</v>
      </c>
      <c r="F70" s="12" t="inlineStr">
        <is>
          <t>PASS</t>
        </is>
      </c>
      <c r="G70" s="5" t="inlineStr">
        <is>
          <t>datos de CYPE (reproducción exacta)</t>
        </is>
      </c>
      <c r="H70" s="5" t="inlineStr">
        <is>
          <t>P297 table: η (occurrence 1)</t>
        </is>
      </c>
      <c r="I70" s="5" t="inlineStr"/>
      <c r="M70" t="n">
        <v>58.02</v>
      </c>
      <c r="N70" t="n">
        <v>58.024</v>
      </c>
      <c r="O70" t="n">
        <v>74</v>
      </c>
      <c r="P70" t="n">
        <v>73.04900000000001</v>
      </c>
    </row>
    <row r="71">
      <c r="A71" s="5" t="inlineStr">
        <is>
          <t>Pilotes</t>
        </is>
      </c>
      <c r="B71" s="5" t="inlineStr">
        <is>
          <t>P3 Arranque (CYPE forces) lambda (eje x)</t>
        </is>
      </c>
      <c r="C71" s="21" t="n">
        <v>58.024</v>
      </c>
      <c r="D71" s="21" t="n">
        <v>58.02</v>
      </c>
      <c r="E71" s="22" t="n">
        <v>0.00638</v>
      </c>
      <c r="F71" s="12" t="inlineStr">
        <is>
          <t>PASS</t>
        </is>
      </c>
      <c r="G71" s="5" t="inlineStr">
        <is>
          <t>datos de CYPE (reproducción exacta)</t>
        </is>
      </c>
      <c r="H71" s="5" t="inlineStr">
        <is>
          <t>P300 table: [Comprobación del estado limite de inestabilidad &gt; En el eje x] λ</t>
        </is>
      </c>
      <c r="I71" s="5" t="inlineStr"/>
      <c r="M71" t="n">
        <v>11.55</v>
      </c>
      <c r="N71" t="n">
        <v>11.547</v>
      </c>
      <c r="O71" t="n">
        <v>7.1</v>
      </c>
      <c r="P71" t="n">
        <v>7.154</v>
      </c>
    </row>
    <row r="72">
      <c r="A72" s="5" t="inlineStr">
        <is>
          <t>Pilotes</t>
        </is>
      </c>
      <c r="B72" s="5" t="inlineStr">
        <is>
          <t>P3 Arranque (CYPE forces) i_c (eje x)</t>
        </is>
      </c>
      <c r="C72" s="21" t="n">
        <v>11.547</v>
      </c>
      <c r="D72" s="21" t="n">
        <v>11.55</v>
      </c>
      <c r="E72" s="22" t="n">
        <v>-0.02593</v>
      </c>
      <c r="F72" s="12" t="inlineStr">
        <is>
          <t>PASS</t>
        </is>
      </c>
      <c r="G72" s="5" t="inlineStr">
        <is>
          <t>datos de CYPE (reproducción exacta)</t>
        </is>
      </c>
      <c r="H72" s="5" t="inlineStr">
        <is>
          <t>P300 table: [Comprobación del estado limite de inestabilidad &gt; En el eje x] ic</t>
        </is>
      </c>
      <c r="I72" s="5" t="inlineStr"/>
      <c r="M72" t="n">
        <v>41.42</v>
      </c>
      <c r="N72" t="n">
        <v>41.416</v>
      </c>
      <c r="O72" t="n">
        <v>84.59999999999999</v>
      </c>
      <c r="P72" t="n">
        <v>83.497</v>
      </c>
    </row>
    <row r="73">
      <c r="A73" s="5" t="inlineStr">
        <is>
          <t>Pilotes</t>
        </is>
      </c>
      <c r="B73" s="5" t="inlineStr">
        <is>
          <t>P3 Arranque (CYPE forces) lambda_inf_lim (eje x)</t>
        </is>
      </c>
      <c r="C73" s="21" t="n">
        <v>41.416</v>
      </c>
      <c r="D73" s="21" t="n">
        <v>41.42</v>
      </c>
      <c r="E73" s="22" t="n">
        <v>-0.01069</v>
      </c>
      <c r="F73" s="12" t="inlineStr">
        <is>
          <t>PASS</t>
        </is>
      </c>
      <c r="G73" s="5" t="inlineStr">
        <is>
          <t>datos de CYPE (reproducción exacta)</t>
        </is>
      </c>
      <c r="H73" s="5" t="inlineStr">
        <is>
          <t>P300 table: [Comprobación del estado limite de inestabilidad &gt; En el eje x] λinf</t>
        </is>
      </c>
      <c r="I73" s="5" t="inlineStr"/>
      <c r="M73" t="n">
        <v>0.74</v>
      </c>
      <c r="N73" t="n">
        <v>0.74074</v>
      </c>
      <c r="O73" t="n">
        <v>51</v>
      </c>
      <c r="P73" t="n">
        <v>50.912</v>
      </c>
    </row>
    <row r="74">
      <c r="A74" s="5" t="inlineStr">
        <is>
          <t>Pilotes</t>
        </is>
      </c>
      <c r="B74" s="5" t="inlineStr">
        <is>
          <t>P3 Arranque (CYPE forces) A (eje x)</t>
        </is>
      </c>
      <c r="C74" s="21" t="n">
        <v>0.74074</v>
      </c>
      <c r="D74" s="21" t="n">
        <v>0.74</v>
      </c>
      <c r="E74" s="22" t="n">
        <v>0.1001</v>
      </c>
      <c r="F74" s="12" t="inlineStr">
        <is>
          <t>PASS</t>
        </is>
      </c>
      <c r="G74" s="5" t="inlineStr">
        <is>
          <t>datos de CYPE (reproducción exacta)</t>
        </is>
      </c>
      <c r="H74" s="5" t="inlineStr">
        <is>
          <t>P300 table: [Comprobación del estado limite de inestabilidad &gt; En el eje x] A</t>
        </is>
      </c>
      <c r="I74" s="5" t="inlineStr"/>
      <c r="M74" t="n">
        <v>1.4</v>
      </c>
      <c r="N74" t="n">
        <v>1.4</v>
      </c>
      <c r="O74" t="n">
        <v>85.5</v>
      </c>
      <c r="P74" t="n">
        <v>84.217</v>
      </c>
    </row>
    <row r="75">
      <c r="A75" s="5" t="inlineStr">
        <is>
          <t>Pilotes</t>
        </is>
      </c>
      <c r="B75" s="5" t="inlineStr">
        <is>
          <t>P3 Arranque (CYPE forces) B (eje x)</t>
        </is>
      </c>
      <c r="C75" s="21" t="n">
        <v>1.4</v>
      </c>
      <c r="D75" s="21" t="n">
        <v>1.4</v>
      </c>
      <c r="E75" s="22" t="n">
        <v>0.01034</v>
      </c>
      <c r="F75" s="12" t="inlineStr">
        <is>
          <t>PASS</t>
        </is>
      </c>
      <c r="G75" s="5" t="inlineStr">
        <is>
          <t>datos de CYPE (reproducción exacta)</t>
        </is>
      </c>
      <c r="H75" s="5" t="inlineStr">
        <is>
          <t>P300 table: [Comprobación del estado limite de inestabilidad &gt; En el eje x] B</t>
        </is>
      </c>
      <c r="I75" s="5" t="inlineStr"/>
      <c r="M75" t="n">
        <v>0.48</v>
      </c>
      <c r="N75" t="n">
        <v>0.4802</v>
      </c>
      <c r="O75" t="n">
        <v>50.1</v>
      </c>
      <c r="P75" t="n">
        <v>50.07</v>
      </c>
    </row>
    <row r="76">
      <c r="A76" s="5" t="inlineStr">
        <is>
          <t>Pilotes</t>
        </is>
      </c>
      <c r="B76" s="5" t="inlineStr">
        <is>
          <t>P3 Arranque (CYPE forces) omega (eje x)</t>
        </is>
      </c>
      <c r="C76" s="21" t="n">
        <v>0.4802</v>
      </c>
      <c r="D76" s="21" t="n">
        <v>0.48</v>
      </c>
      <c r="E76" s="22" t="n">
        <v>0.04223</v>
      </c>
      <c r="F76" s="12" t="inlineStr">
        <is>
          <t>PASS</t>
        </is>
      </c>
      <c r="G76" s="5" t="inlineStr">
        <is>
          <t>datos de CYPE (reproducción exacta)</t>
        </is>
      </c>
      <c r="H76" s="5" t="inlineStr">
        <is>
          <t>P300 table: [Comprobación del estado limite de inestabilidad &gt; En el eje x] ω (occurrence 1)</t>
        </is>
      </c>
      <c r="I76" s="5" t="inlineStr"/>
      <c r="M76" t="n">
        <v>0.7</v>
      </c>
      <c r="N76" t="n">
        <v>0.7</v>
      </c>
      <c r="O76" t="n">
        <v>84.40000000000001</v>
      </c>
      <c r="P76" t="n">
        <v>83.15300000000001</v>
      </c>
    </row>
    <row r="77">
      <c r="A77" s="5" t="inlineStr">
        <is>
          <t>Pilotes</t>
        </is>
      </c>
      <c r="B77" s="5" t="inlineStr">
        <is>
          <t>P3 Arranque (CYPE forces) C (eje x)</t>
        </is>
      </c>
      <c r="C77" s="21" t="n">
        <v>0.7</v>
      </c>
      <c r="D77" s="21" t="n">
        <v>0.7</v>
      </c>
      <c r="E77" s="22" t="n">
        <v>0</v>
      </c>
      <c r="F77" s="12" t="inlineStr">
        <is>
          <t>PASS</t>
        </is>
      </c>
      <c r="G77" s="5" t="inlineStr">
        <is>
          <t>datos de CYPE (reproducción exacta)</t>
        </is>
      </c>
      <c r="H77" s="5" t="inlineStr">
        <is>
          <t>P300 table: [Comprobación del estado limite de inestabilidad &gt; En el eje x] C</t>
        </is>
      </c>
      <c r="I77" s="5" t="inlineStr"/>
      <c r="M77" t="n">
        <v>0.12</v>
      </c>
      <c r="N77" t="n">
        <v>0.12292</v>
      </c>
      <c r="O77" t="n">
        <v>7.8</v>
      </c>
      <c r="P77" t="n">
        <v>7.778</v>
      </c>
    </row>
    <row r="78">
      <c r="A78" s="5" t="inlineStr">
        <is>
          <t>Pilotes</t>
        </is>
      </c>
      <c r="B78" s="5" t="inlineStr">
        <is>
          <t>P3 Arranque (CYPE forces) n (eje x)</t>
        </is>
      </c>
      <c r="C78" s="21" t="n">
        <v>0.12292</v>
      </c>
      <c r="D78" s="21" t="n">
        <v>0.12</v>
      </c>
      <c r="E78" s="22" t="n">
        <v>2.43</v>
      </c>
      <c r="F78" s="12" t="inlineStr">
        <is>
          <t>PASS</t>
        </is>
      </c>
      <c r="G78" s="5" t="inlineStr">
        <is>
          <t>datos de CYPE (reproducción exacta)</t>
        </is>
      </c>
      <c r="H78" s="5" t="inlineStr">
        <is>
          <t>P300 table: [Comprobación del estado limite de inestabilidad &gt; En el eje x] n (occurrence 1)</t>
        </is>
      </c>
      <c r="I78" s="5" t="inlineStr"/>
      <c r="M78" t="n">
        <v>12.94</v>
      </c>
      <c r="N78" t="n">
        <v>12.942</v>
      </c>
      <c r="O78" t="n">
        <v>71.2</v>
      </c>
      <c r="P78" t="n">
        <v>69.88800000000001</v>
      </c>
    </row>
    <row r="79">
      <c r="A79" s="5" t="inlineStr">
        <is>
          <t>Pilotes</t>
        </is>
      </c>
      <c r="B79" s="5" t="inlineStr">
        <is>
          <t>P3 Arranque (CYPE forces) e_i (eje x)</t>
        </is>
      </c>
      <c r="C79" s="21" t="n">
        <v>12.942</v>
      </c>
      <c r="D79" s="21" t="n">
        <v>12.94</v>
      </c>
      <c r="E79" s="22" t="n">
        <v>0.01684</v>
      </c>
      <c r="F79" s="12" t="inlineStr">
        <is>
          <t>PASS</t>
        </is>
      </c>
      <c r="G79" s="5" t="inlineStr">
        <is>
          <t>datos de CYPE (reproducción exacta)</t>
        </is>
      </c>
      <c r="H79" s="5" t="inlineStr">
        <is>
          <t>P300 table: [Comprobación del estado limite de inestabilidad &gt; En el eje x] ei</t>
        </is>
      </c>
      <c r="I79" s="5" t="inlineStr"/>
      <c r="M79" t="n">
        <v>91.56</v>
      </c>
      <c r="N79" t="n">
        <v>91.56100000000001</v>
      </c>
      <c r="O79" t="n">
        <v>73.59999999999999</v>
      </c>
      <c r="P79" t="n">
        <v>73.408</v>
      </c>
    </row>
    <row r="80">
      <c r="A80" s="5" t="inlineStr">
        <is>
          <t>Pilotes</t>
        </is>
      </c>
      <c r="B80" s="5" t="inlineStr">
        <is>
          <t>P3 Arranque (CYPE forces) e2 (eje x)</t>
        </is>
      </c>
      <c r="C80" s="21" t="n">
        <v>91.56100000000001</v>
      </c>
      <c r="D80" s="21" t="n">
        <v>91.56</v>
      </c>
      <c r="E80" s="22" t="n">
        <v>0.00157</v>
      </c>
      <c r="F80" s="12" t="inlineStr">
        <is>
          <t>PASS</t>
        </is>
      </c>
      <c r="G80" s="5" t="inlineStr">
        <is>
          <t>datos de CYPE (reproducción exacta)</t>
        </is>
      </c>
      <c r="H80" s="5" t="inlineStr">
        <is>
          <t>P300 table: [Comprobación del estado limite de inestabilidad &gt; En el eje x] e2</t>
        </is>
      </c>
      <c r="I80" s="5" t="inlineStr"/>
      <c r="M80" t="n">
        <v>0.0201</v>
      </c>
      <c r="N80" t="n">
        <v>0.02013</v>
      </c>
      <c r="O80" t="n">
        <v>74.3</v>
      </c>
      <c r="P80" t="n">
        <v>73.18300000000001</v>
      </c>
    </row>
    <row r="81">
      <c r="A81" s="5" t="inlineStr">
        <is>
          <t>Pilotes</t>
        </is>
      </c>
      <c r="B81" s="5" t="inlineStr">
        <is>
          <t>P3 Arranque (CYPE forces) one_over_r (eje x)</t>
        </is>
      </c>
      <c r="C81" s="21" t="n">
        <v>0.02013</v>
      </c>
      <c r="D81" s="21" t="n">
        <v>0.0201</v>
      </c>
      <c r="E81" s="22" t="n">
        <v>0.15363</v>
      </c>
      <c r="F81" s="12" t="inlineStr">
        <is>
          <t>PASS</t>
        </is>
      </c>
      <c r="G81" s="5" t="inlineStr">
        <is>
          <t>datos de CYPE (reproducción exacta)</t>
        </is>
      </c>
      <c r="H81" s="5" t="inlineStr">
        <is>
          <t>P300 table: [Comprobación del estado limite de inestabilidad &gt; En el eje x] 1/r</t>
        </is>
      </c>
      <c r="I81" s="5" t="inlineStr"/>
      <c r="M81" t="n">
        <v>0.0147</v>
      </c>
      <c r="N81" t="n">
        <v>0.01466</v>
      </c>
      <c r="O81" t="n">
        <v>71.7</v>
      </c>
      <c r="P81" t="n">
        <v>71.63800000000001</v>
      </c>
    </row>
    <row r="82">
      <c r="A82" s="5" t="inlineStr">
        <is>
          <t>Pilotes</t>
        </is>
      </c>
      <c r="B82" s="5" t="inlineStr">
        <is>
          <t>P3 Arranque (CYPE forces) one_over_r0 (eje x)</t>
        </is>
      </c>
      <c r="C82" s="21" t="n">
        <v>0.01466</v>
      </c>
      <c r="D82" s="21" t="n">
        <v>0.0147</v>
      </c>
      <c r="E82" s="22" t="n">
        <v>-0.26286</v>
      </c>
      <c r="F82" s="12" t="inlineStr">
        <is>
          <t>PASS</t>
        </is>
      </c>
      <c r="G82" s="5" t="inlineStr">
        <is>
          <t>datos de CYPE (reproducción exacta)</t>
        </is>
      </c>
      <c r="H82" s="5" t="inlineStr">
        <is>
          <t>P300 table: [Comprobación del estado limite de inestabilidad &gt; En el eje x] 1/r0</t>
        </is>
      </c>
      <c r="I82" s="5" t="inlineStr"/>
      <c r="M82" t="n">
        <v>1</v>
      </c>
      <c r="N82" t="n">
        <v>1</v>
      </c>
      <c r="O82" t="n">
        <v>73.7</v>
      </c>
      <c r="P82" t="n">
        <v>72.515</v>
      </c>
    </row>
    <row r="83">
      <c r="A83" s="5" t="inlineStr">
        <is>
          <t>Pilotes</t>
        </is>
      </c>
      <c r="B83" s="5" t="inlineStr">
        <is>
          <t>P3 Arranque (CYPE forces) K_r (eje x)</t>
        </is>
      </c>
      <c r="C83" s="21" t="n">
        <v>1</v>
      </c>
      <c r="D83" s="21" t="n">
        <v>1</v>
      </c>
      <c r="E83" s="22" t="n">
        <v>0</v>
      </c>
      <c r="F83" s="12" t="inlineStr">
        <is>
          <t>PASS</t>
        </is>
      </c>
      <c r="G83" s="5" t="inlineStr">
        <is>
          <t>datos de CYPE (reproducción exacta)</t>
        </is>
      </c>
      <c r="H83" s="5" t="inlineStr">
        <is>
          <t>P300 table: [Comprobación del estado limite de inestabilidad &gt; En el eje x] Kr</t>
        </is>
      </c>
      <c r="I83" s="5" t="inlineStr"/>
      <c r="M83" t="n">
        <v>1.373</v>
      </c>
      <c r="N83" t="n">
        <v>1.373</v>
      </c>
      <c r="O83" t="n">
        <v>7.1</v>
      </c>
      <c r="P83" t="n">
        <v>7.1</v>
      </c>
    </row>
    <row r="84">
      <c r="A84" s="5" t="inlineStr">
        <is>
          <t>Pilotes</t>
        </is>
      </c>
      <c r="B84" s="5" t="inlineStr">
        <is>
          <t>P3 Arranque (CYPE forces) K_phi (eje x)</t>
        </is>
      </c>
      <c r="C84" s="21" t="n">
        <v>1.373</v>
      </c>
      <c r="D84" s="21" t="n">
        <v>1.373</v>
      </c>
      <c r="E84" s="22" t="n">
        <v>0.00414</v>
      </c>
      <c r="F84" s="12" t="inlineStr">
        <is>
          <t>PASS</t>
        </is>
      </c>
      <c r="G84" s="5" t="inlineStr">
        <is>
          <t>datos de CYPE (reproducción exacta)</t>
        </is>
      </c>
      <c r="H84" s="5" t="inlineStr">
        <is>
          <t>P300 table: [Comprobación del estado limite de inestabilidad &gt; En el eje x] Kϕ</t>
        </is>
      </c>
      <c r="I84" s="5" t="inlineStr"/>
      <c r="M84" t="n">
        <v>0.213</v>
      </c>
      <c r="N84" t="n">
        <v>0.21318</v>
      </c>
      <c r="O84" t="n">
        <v>87.40000000000001</v>
      </c>
      <c r="P84" t="n">
        <v>86.848</v>
      </c>
    </row>
    <row r="85">
      <c r="A85" s="5" t="inlineStr">
        <is>
          <t>Pilotes</t>
        </is>
      </c>
      <c r="B85" s="5" t="inlineStr">
        <is>
          <t>P3 Arranque (CYPE forces) beta (eje x)</t>
        </is>
      </c>
      <c r="C85" s="21" t="n">
        <v>0.21318</v>
      </c>
      <c r="D85" s="21" t="n">
        <v>0.213</v>
      </c>
      <c r="E85" s="22" t="n">
        <v>0.08230999999999999</v>
      </c>
      <c r="F85" s="12" t="inlineStr">
        <is>
          <t>PASS</t>
        </is>
      </c>
      <c r="G85" s="5" t="inlineStr">
        <is>
          <t>datos de CYPE (reproducción exacta)</t>
        </is>
      </c>
      <c r="H85" s="5" t="inlineStr">
        <is>
          <t>P300 table: [Comprobación del estado limite de inestabilidad &gt; En el eje x] β</t>
        </is>
      </c>
      <c r="I85" s="5" t="inlineStr"/>
      <c r="M85" t="n">
        <v>1.48</v>
      </c>
      <c r="N85" t="n">
        <v>1.48</v>
      </c>
      <c r="O85" t="n">
        <v>51.9</v>
      </c>
      <c r="P85" t="n">
        <v>51.663</v>
      </c>
    </row>
    <row r="86">
      <c r="A86" s="5" t="inlineStr">
        <is>
          <t>Pilotes</t>
        </is>
      </c>
      <c r="B86" s="5" t="inlineStr">
        <is>
          <t>P3 Arranque (CYPE forces) n_u (eje x)</t>
        </is>
      </c>
      <c r="C86" s="21" t="n">
        <v>1.48</v>
      </c>
      <c r="D86" s="21" t="n">
        <v>1.48</v>
      </c>
      <c r="E86" s="22" t="n">
        <v>0.01369</v>
      </c>
      <c r="F86" s="12" t="inlineStr">
        <is>
          <t>PASS</t>
        </is>
      </c>
      <c r="G86" s="5" t="inlineStr">
        <is>
          <t>datos de CYPE (reproducción exacta)</t>
        </is>
      </c>
      <c r="H86" s="5" t="inlineStr">
        <is>
          <t>P300 table: [Comprobación del estado limite de inestabilidad &gt; En el eje x] nu</t>
        </is>
      </c>
      <c r="I86" s="5" t="inlineStr"/>
      <c r="M86" t="n">
        <v>330</v>
      </c>
      <c r="N86" t="n">
        <v>329.5</v>
      </c>
      <c r="O86" t="n">
        <v>86.40000000000001</v>
      </c>
      <c r="P86" t="n">
        <v>85.544</v>
      </c>
    </row>
    <row r="87">
      <c r="A87" s="5" t="inlineStr">
        <is>
          <t>Pilotes</t>
        </is>
      </c>
      <c r="B87" s="5" t="inlineStr">
        <is>
          <t>P3 Arranque (CYPE forces) d (eje x)</t>
        </is>
      </c>
      <c r="C87" s="21" t="n">
        <v>329.5</v>
      </c>
      <c r="D87" s="21" t="n">
        <v>330</v>
      </c>
      <c r="E87" s="22" t="n">
        <v>-0.15152</v>
      </c>
      <c r="F87" s="12" t="inlineStr">
        <is>
          <t>PASS</t>
        </is>
      </c>
      <c r="G87" s="5" t="inlineStr">
        <is>
          <t>datos de CYPE (reproducción exacta)</t>
        </is>
      </c>
      <c r="H87" s="5" t="inlineStr">
        <is>
          <t>P300 table: [Comprobación del estado limite de inestabilidad &gt; En el eje x] d</t>
        </is>
      </c>
      <c r="I87" s="5" t="inlineStr"/>
      <c r="M87" t="n">
        <v>0.7727000000000001</v>
      </c>
      <c r="N87" t="n">
        <v>0.77267</v>
      </c>
      <c r="O87" t="n">
        <v>51</v>
      </c>
      <c r="P87" t="n">
        <v>50.804</v>
      </c>
    </row>
    <row r="88">
      <c r="A88" s="5" t="inlineStr">
        <is>
          <t>Pilotes</t>
        </is>
      </c>
      <c r="B88" s="5" t="inlineStr">
        <is>
          <t>P3 Arranque (CYPE forces) alpha_h</t>
        </is>
      </c>
      <c r="C88" s="21" t="n">
        <v>0.77267</v>
      </c>
      <c r="D88" s="21" t="n">
        <v>0.7727000000000001</v>
      </c>
      <c r="E88" s="22" t="n">
        <v>-0.00422</v>
      </c>
      <c r="F88" s="12" t="inlineStr">
        <is>
          <t>PASS</t>
        </is>
      </c>
      <c r="G88" s="5" t="inlineStr">
        <is>
          <t>datos de CYPE (reproducción exacta)</t>
        </is>
      </c>
      <c r="H88" s="5" t="inlineStr">
        <is>
          <t>P300 table: [Comprobación del estado limite de inestabilidad &gt; En el eje x] αh</t>
        </is>
      </c>
      <c r="I88" s="5" t="inlineStr"/>
      <c r="M88" t="n">
        <v>0.0039</v>
      </c>
      <c r="N88" t="n">
        <v>0.00386</v>
      </c>
      <c r="O88" t="n">
        <v>85.3</v>
      </c>
      <c r="P88" t="n">
        <v>84.462</v>
      </c>
    </row>
    <row r="89">
      <c r="A89" s="5" t="inlineStr">
        <is>
          <t>Pilotes</t>
        </is>
      </c>
      <c r="B89" s="5" t="inlineStr">
        <is>
          <t>P3 Arranque (CYPE forces) theta_i</t>
        </is>
      </c>
      <c r="C89" s="21" t="n">
        <v>0.00386</v>
      </c>
      <c r="D89" s="21" t="n">
        <v>0.0039</v>
      </c>
      <c r="E89" s="22" t="n">
        <v>-0.94008</v>
      </c>
      <c r="F89" s="12" t="inlineStr">
        <is>
          <t>PASS</t>
        </is>
      </c>
      <c r="G89" s="5" t="inlineStr">
        <is>
          <t>datos de CYPE (reproducción exacta)</t>
        </is>
      </c>
      <c r="H89" s="5" t="inlineStr">
        <is>
          <t>P300 table: [Comprobación del estado limite de inestabilidad &gt; En el eje x] θi</t>
        </is>
      </c>
      <c r="I89" s="5" t="inlineStr"/>
      <c r="M89" t="n">
        <v>537.0599999999999</v>
      </c>
      <c r="N89" t="n">
        <v>537.0599999999999</v>
      </c>
      <c r="O89" t="n">
        <v>8</v>
      </c>
      <c r="P89" t="n">
        <v>7.907</v>
      </c>
    </row>
    <row r="90">
      <c r="A90" s="5" t="inlineStr">
        <is>
          <t>Pilotes</t>
        </is>
      </c>
      <c r="B90" s="5" t="inlineStr">
        <is>
          <t>P3 Arranque (CYPE forces) etot (eje x)</t>
        </is>
      </c>
      <c r="C90" s="21" t="n">
        <v>-537.0599999999999</v>
      </c>
      <c r="D90" s="21" t="n">
        <v>-537.0599999999999</v>
      </c>
      <c r="E90" s="22" t="n">
        <v>0.00066385</v>
      </c>
      <c r="F90" s="12" t="inlineStr">
        <is>
          <t>PASS</t>
        </is>
      </c>
      <c r="G90" s="5" t="inlineStr">
        <is>
          <t>datos de CYPE (reproducción exacta)</t>
        </is>
      </c>
      <c r="H90" s="5" t="inlineStr">
        <is>
          <t>P300 table: [Comprobación del estado limite de inestabilidad &gt; En el eje x] etot</t>
        </is>
      </c>
      <c r="I90" s="5" t="inlineStr"/>
      <c r="M90" t="n">
        <v>108.75</v>
      </c>
      <c r="N90" t="n">
        <v>108.76</v>
      </c>
      <c r="O90" t="n">
        <v>76.09999999999999</v>
      </c>
      <c r="P90" t="n">
        <v>79.538</v>
      </c>
    </row>
    <row r="91">
      <c r="A91" s="5" t="inlineStr">
        <is>
          <t>Pilotes</t>
        </is>
      </c>
      <c r="B91" s="5" t="inlineStr">
        <is>
          <t>P3 Arranque (CYPE forces) etot (eje y)</t>
        </is>
      </c>
      <c r="C91" s="21" t="n">
        <v>108.76</v>
      </c>
      <c r="D91" s="21" t="n">
        <v>108.75</v>
      </c>
      <c r="E91" s="22" t="n">
        <v>0.00881</v>
      </c>
      <c r="F91" s="12" t="inlineStr">
        <is>
          <t>PASS</t>
        </is>
      </c>
      <c r="G91" s="5" t="inlineStr">
        <is>
          <t>datos de CYPE (reproducción exacta)</t>
        </is>
      </c>
      <c r="H91" s="5" t="inlineStr">
        <is>
          <t>P300 table: [Comprobación del estado limite de inestabilidad &gt; En el eje y] etot</t>
        </is>
      </c>
      <c r="I91" s="5" t="inlineStr"/>
      <c r="M91" t="n">
        <v>352.07</v>
      </c>
      <c r="N91" t="n">
        <v>352.07</v>
      </c>
      <c r="O91" t="n">
        <v>53.1</v>
      </c>
      <c r="P91" t="n">
        <v>53.03</v>
      </c>
    </row>
    <row r="92">
      <c r="A92" s="5" t="inlineStr">
        <is>
          <t>Pilotes</t>
        </is>
      </c>
      <c r="B92" s="5" t="inlineStr">
        <is>
          <t>P3 Arranque (CYPE forces) MSd,x</t>
        </is>
      </c>
      <c r="C92" s="21" t="n">
        <v>-352.07</v>
      </c>
      <c r="D92" s="21" t="n">
        <v>-352.07</v>
      </c>
      <c r="E92" s="22" t="n">
        <v>0.00075389</v>
      </c>
      <c r="F92" s="12" t="inlineStr">
        <is>
          <t>PASS</t>
        </is>
      </c>
      <c r="G92" s="5" t="inlineStr">
        <is>
          <t>datos de CYPE (reproducción exacta)</t>
        </is>
      </c>
      <c r="H92" s="5" t="inlineStr">
        <is>
          <t>P300 table: [Comprobación del estado limite de inestabilidad] MSd,x</t>
        </is>
      </c>
      <c r="I92" s="5" t="inlineStr"/>
      <c r="M92" t="n">
        <v>71.29000000000001</v>
      </c>
      <c r="N92" t="n">
        <v>71.297</v>
      </c>
      <c r="O92" t="n">
        <v>77.5</v>
      </c>
      <c r="P92" t="n">
        <v>78.858</v>
      </c>
    </row>
    <row r="93">
      <c r="A93" s="5" t="inlineStr">
        <is>
          <t>Pilotes</t>
        </is>
      </c>
      <c r="B93" s="5" t="inlineStr">
        <is>
          <t>P3 Arranque (CYPE forces) MSd,y</t>
        </is>
      </c>
      <c r="C93" s="21" t="n">
        <v>71.297</v>
      </c>
      <c r="D93" s="21" t="n">
        <v>71.29000000000001</v>
      </c>
      <c r="E93" s="22" t="n">
        <v>0.0103</v>
      </c>
      <c r="F93" s="12" t="inlineStr">
        <is>
          <t>PASS</t>
        </is>
      </c>
      <c r="G93" s="5" t="inlineStr">
        <is>
          <t>datos de CYPE (reproducción exacta)</t>
        </is>
      </c>
      <c r="H93" s="5" t="inlineStr">
        <is>
          <t>P300 table: [Comprobación del estado limite de inestabilidad] MSd,y</t>
        </is>
      </c>
      <c r="I93" s="5" t="inlineStr"/>
      <c r="M93" t="n">
        <v>733.05</v>
      </c>
      <c r="N93" t="n">
        <v>733.04</v>
      </c>
      <c r="O93" t="n">
        <v>52</v>
      </c>
      <c r="P93" t="n">
        <v>52.094</v>
      </c>
    </row>
    <row r="94">
      <c r="A94" s="5" t="inlineStr">
        <is>
          <t>Pilotes</t>
        </is>
      </c>
      <c r="B94" s="5" t="inlineStr">
        <is>
          <t>P3 Arranque (CYPE forces) 2nd order NRd</t>
        </is>
      </c>
      <c r="C94" s="21" t="n">
        <v>733.04</v>
      </c>
      <c r="D94" s="21" t="n">
        <v>733.05</v>
      </c>
      <c r="E94" s="22" t="n">
        <v>-0.00138</v>
      </c>
      <c r="F94" s="12" t="inlineStr">
        <is>
          <t>PASS</t>
        </is>
      </c>
      <c r="G94" s="5" t="inlineStr">
        <is>
          <t>datos de CYPE (reproducción exacta)</t>
        </is>
      </c>
      <c r="H94" s="5" t="inlineStr">
        <is>
          <t>P300 table: [Comprobación del estado limite de inestabilidad] NRd</t>
        </is>
      </c>
      <c r="I94" s="5" t="inlineStr"/>
      <c r="M94" t="n">
        <v>393.69</v>
      </c>
      <c r="N94" t="n">
        <v>393.68</v>
      </c>
      <c r="O94" t="n">
        <v>76.5</v>
      </c>
      <c r="P94" t="n">
        <v>77.92400000000001</v>
      </c>
    </row>
    <row r="95">
      <c r="A95" s="5" t="inlineStr">
        <is>
          <t>Pilotes</t>
        </is>
      </c>
      <c r="B95" s="5" t="inlineStr">
        <is>
          <t>P3 Arranque (CYPE forces) 2nd order MRd,x</t>
        </is>
      </c>
      <c r="C95" s="21" t="n">
        <v>-393.68</v>
      </c>
      <c r="D95" s="21" t="n">
        <v>-393.69</v>
      </c>
      <c r="E95" s="22" t="n">
        <v>0.00158</v>
      </c>
      <c r="F95" s="12" t="inlineStr">
        <is>
          <t>PASS</t>
        </is>
      </c>
      <c r="G95" s="5" t="inlineStr">
        <is>
          <t>datos de CYPE (reproducción exacta)</t>
        </is>
      </c>
      <c r="H95" s="5" t="inlineStr">
        <is>
          <t>P300 table: [Comprobación del estado limite de inestabilidad] MRd,x</t>
        </is>
      </c>
      <c r="I95" s="5" t="inlineStr"/>
      <c r="M95" t="n">
        <v>79.72</v>
      </c>
      <c r="N95" t="n">
        <v>79.72499999999999</v>
      </c>
      <c r="O95" t="n">
        <v>7.3</v>
      </c>
      <c r="P95" t="n">
        <v>7.354</v>
      </c>
    </row>
    <row r="96">
      <c r="A96" s="5" t="inlineStr">
        <is>
          <t>Pilotes</t>
        </is>
      </c>
      <c r="B96" s="5" t="inlineStr">
        <is>
          <t>P3 Arranque (CYPE forces) 2nd order MRd,y</t>
        </is>
      </c>
      <c r="C96" s="21" t="n">
        <v>79.72499999999999</v>
      </c>
      <c r="D96" s="21" t="n">
        <v>79.72</v>
      </c>
      <c r="E96" s="22" t="n">
        <v>0.00641</v>
      </c>
      <c r="F96" s="12" t="inlineStr">
        <is>
          <t>PASS</t>
        </is>
      </c>
      <c r="G96" s="5" t="inlineStr">
        <is>
          <t>datos de CYPE (reproducción exacta)</t>
        </is>
      </c>
      <c r="H96" s="5" t="inlineStr">
        <is>
          <t>P300 table: [Comprobación del estado limite de inestabilidad] MRd,y</t>
        </is>
      </c>
      <c r="I96" s="5" t="inlineStr"/>
      <c r="M96" t="n">
        <v>0.894</v>
      </c>
      <c r="N96" t="n">
        <v>0.89429</v>
      </c>
      <c r="O96" t="n">
        <v>67.8</v>
      </c>
      <c r="P96" t="n">
        <v>67.042</v>
      </c>
    </row>
    <row r="97">
      <c r="A97" s="5" t="inlineStr">
        <is>
          <t>Pilotes</t>
        </is>
      </c>
      <c r="B97" s="5" t="inlineStr">
        <is>
          <t>P3 Arranque (CYPE forces) η2 instability</t>
        </is>
      </c>
      <c r="C97" s="21" t="n">
        <v>0.89429</v>
      </c>
      <c r="D97" s="21" t="n">
        <v>0.894</v>
      </c>
      <c r="E97" s="22" t="n">
        <v>0.03241</v>
      </c>
      <c r="F97" s="12" t="inlineStr">
        <is>
          <t>PASS</t>
        </is>
      </c>
      <c r="G97" s="5" t="inlineStr">
        <is>
          <t>datos de CYPE (reproducción exacta)</t>
        </is>
      </c>
      <c r="H97" s="5" t="inlineStr">
        <is>
          <t>P297 table: η (occurrence 2)</t>
        </is>
      </c>
      <c r="I97" s="5" t="inlineStr"/>
      <c r="M97" t="n">
        <v>1439.73</v>
      </c>
      <c r="N97" t="n">
        <v>1439.71</v>
      </c>
      <c r="O97" t="n">
        <v>69.2</v>
      </c>
      <c r="P97" t="n">
        <v>69.29900000000001</v>
      </c>
    </row>
    <row r="98">
      <c r="A98" s="5" t="inlineStr">
        <is>
          <t>Pilotes</t>
        </is>
      </c>
      <c r="B98" s="5" t="inlineStr">
        <is>
          <t>P3 Arranque (CYPE forces) Cc at failure</t>
        </is>
      </c>
      <c r="C98" s="21" t="n">
        <v>1439.71</v>
      </c>
      <c r="D98" s="21" t="n">
        <v>1439.73</v>
      </c>
      <c r="E98" s="22" t="n">
        <v>-0.00121</v>
      </c>
      <c r="F98" s="12" t="inlineStr">
        <is>
          <t>PASS</t>
        </is>
      </c>
      <c r="G98" s="5" t="inlineStr">
        <is>
          <t>datos de CYPE (reproducción exacta)</t>
        </is>
      </c>
      <c r="H98" s="5" t="inlineStr">
        <is>
          <t>P315 table: Cc Resultante</t>
        </is>
      </c>
      <c r="I98" s="5" t="inlineStr"/>
      <c r="M98" t="n">
        <v>562.62</v>
      </c>
      <c r="N98" t="n">
        <v>562.6</v>
      </c>
      <c r="O98" t="n">
        <v>71.5</v>
      </c>
      <c r="P98" t="n">
        <v>70.69499999999999</v>
      </c>
    </row>
    <row r="99">
      <c r="A99" s="5" t="inlineStr">
        <is>
          <t>Pilotes</t>
        </is>
      </c>
      <c r="B99" s="5" t="inlineStr">
        <is>
          <t>P3 Arranque (CYPE forces) Cs at failure</t>
        </is>
      </c>
      <c r="C99" s="21" t="n">
        <v>562.6</v>
      </c>
      <c r="D99" s="21" t="n">
        <v>562.62</v>
      </c>
      <c r="E99" s="22" t="n">
        <v>-0.0036</v>
      </c>
      <c r="F99" s="12" t="inlineStr">
        <is>
          <t>PASS</t>
        </is>
      </c>
      <c r="G99" s="5" t="inlineStr">
        <is>
          <t>datos de CYPE (reproducción exacta)</t>
        </is>
      </c>
      <c r="H99" s="5" t="inlineStr">
        <is>
          <t>P315 table: Cs Resultante</t>
        </is>
      </c>
      <c r="I99" s="5" t="inlineStr"/>
      <c r="M99" t="n">
        <v>1269.29</v>
      </c>
      <c r="N99" t="n">
        <v>1269.27</v>
      </c>
      <c r="O99" t="n">
        <v>67.5</v>
      </c>
      <c r="P99" t="n">
        <v>67.669</v>
      </c>
    </row>
    <row r="100">
      <c r="A100" s="5" t="inlineStr">
        <is>
          <t>Pilotes</t>
        </is>
      </c>
      <c r="B100" s="5" t="inlineStr">
        <is>
          <t>P3 Arranque (CYPE forces) T at failure</t>
        </is>
      </c>
      <c r="C100" s="21" t="n">
        <v>1269.27</v>
      </c>
      <c r="D100" s="21" t="n">
        <v>1269.29</v>
      </c>
      <c r="E100" s="22" t="n">
        <v>-0.00138</v>
      </c>
      <c r="F100" s="12" t="inlineStr">
        <is>
          <t>PASS</t>
        </is>
      </c>
      <c r="G100" s="5" t="inlineStr">
        <is>
          <t>datos de CYPE (reproducción exacta)</t>
        </is>
      </c>
      <c r="H100" s="5" t="inlineStr">
        <is>
          <t>P315 table: T Resultante</t>
        </is>
      </c>
      <c r="I100" s="5" t="inlineStr"/>
      <c r="M100" t="n">
        <v>90.7</v>
      </c>
      <c r="N100" t="n">
        <v>90.699</v>
      </c>
      <c r="O100" t="n">
        <v>70.90000000000001</v>
      </c>
      <c r="P100" t="n">
        <v>70.13800000000001</v>
      </c>
    </row>
    <row r="101">
      <c r="A101" s="5" t="inlineStr">
        <is>
          <t>Pilotes</t>
        </is>
      </c>
      <c r="B101" s="5" t="inlineStr">
        <is>
          <t>P3 Arranque (CYPE forces) listing 'Aprov.' N,M (constant-N definition)</t>
        </is>
      </c>
      <c r="C101" s="21" t="n">
        <v>90.699</v>
      </c>
      <c r="D101" s="21" t="n">
        <v>90.7</v>
      </c>
      <c r="E101" s="22" t="n">
        <v>-0.00087086</v>
      </c>
      <c r="F101" s="12" t="inlineStr">
        <is>
          <t>PASS</t>
        </is>
      </c>
      <c r="G101" s="5" t="inlineStr">
        <is>
          <t>datos de CYPE (reproducción exacta)</t>
        </is>
      </c>
      <c r="H101" s="5" t="inlineStr">
        <is>
          <t>P1752 table: Arranque G, Q, V(3)</t>
        </is>
      </c>
      <c r="I101" s="5" t="inlineStr">
        <is>
          <t>spec C4; the ray definition gives 89.43</t>
        </is>
      </c>
      <c r="M101" t="n">
        <v>1005.35</v>
      </c>
      <c r="N101" t="n">
        <v>1005.36</v>
      </c>
      <c r="O101" t="n">
        <v>6.9</v>
      </c>
      <c r="P101" t="n">
        <v>6.876</v>
      </c>
    </row>
    <row r="102">
      <c r="A102" s="5" t="inlineStr">
        <is>
          <t>Pilotes</t>
        </is>
      </c>
      <c r="B102" s="5" t="inlineStr">
        <is>
          <t>P3 Arranque (CYPE forces) VRd,max (z CYPE 251.34)</t>
        </is>
      </c>
      <c r="C102" s="21" t="n">
        <v>1005.36</v>
      </c>
      <c r="D102" s="21" t="n">
        <v>1005.35</v>
      </c>
      <c r="E102" s="22" t="n">
        <v>0.00099468</v>
      </c>
      <c r="F102" s="12" t="inlineStr">
        <is>
          <t>PASS</t>
        </is>
      </c>
      <c r="G102" s="5" t="inlineStr">
        <is>
          <t>datos de CYPE (reproducción exacta)</t>
        </is>
      </c>
      <c r="H102" s="5" t="inlineStr">
        <is>
          <t>P292 table: [Se debe satisfacer] VRd,max</t>
        </is>
      </c>
      <c r="I102" s="5" t="inlineStr"/>
      <c r="M102" t="n">
        <v>0.08500000000000001</v>
      </c>
      <c r="N102" t="n">
        <v>0.08491</v>
      </c>
      <c r="O102" t="n">
        <v>72.5</v>
      </c>
      <c r="P102" t="n">
        <v>71.21299999999999</v>
      </c>
    </row>
    <row r="103">
      <c r="A103" s="5" t="inlineStr">
        <is>
          <t>Pilotes</t>
        </is>
      </c>
      <c r="B103" s="5" t="inlineStr">
        <is>
          <t>P3 Arranque (CYPE forces) η VRd,max</t>
        </is>
      </c>
      <c r="C103" s="21" t="n">
        <v>0.08491</v>
      </c>
      <c r="D103" s="21" t="n">
        <v>0.08500000000000001</v>
      </c>
      <c r="E103" s="22" t="n">
        <v>-0.10529</v>
      </c>
      <c r="F103" s="12" t="inlineStr">
        <is>
          <t>PASS</t>
        </is>
      </c>
      <c r="G103" s="5" t="inlineStr">
        <is>
          <t>datos de CYPE (reproducción exacta)</t>
        </is>
      </c>
      <c r="H103" s="5" t="inlineStr">
        <is>
          <t>P292 table: [Se debe satisfacer] η</t>
        </is>
      </c>
      <c r="I103" s="5" t="inlineStr"/>
      <c r="M103" t="n">
        <v>11.91</v>
      </c>
      <c r="N103" t="n">
        <v>11.91</v>
      </c>
      <c r="O103" t="n">
        <v>74.2</v>
      </c>
      <c r="P103" t="n">
        <v>73.864</v>
      </c>
    </row>
    <row r="104">
      <c r="A104" s="5" t="inlineStr">
        <is>
          <t>Pilotes</t>
        </is>
      </c>
      <c r="B104" s="5" t="inlineStr">
        <is>
          <t>P3 Arranque (CYPE forces) σcp for αcw, dir X</t>
        </is>
      </c>
      <c r="C104" s="21" t="n">
        <v>-11.91</v>
      </c>
      <c r="D104" s="21" t="n">
        <v>-11.91</v>
      </c>
      <c r="E104" s="22" t="n">
        <v>0.00362</v>
      </c>
      <c r="F104" s="12" t="inlineStr">
        <is>
          <t>PASS</t>
        </is>
      </c>
      <c r="G104" s="5" t="inlineStr">
        <is>
          <t>datos de CYPE (reproducción exacta)</t>
        </is>
      </c>
      <c r="H104" s="5" t="inlineStr">
        <is>
          <t>P292 table: [Esfuerzo cortante de agotamiento por compresión oblicua e... &gt; Cortante en la dirección X] σcp</t>
        </is>
      </c>
      <c r="I104" s="5" t="inlineStr"/>
      <c r="M104" t="n">
        <v>1.24</v>
      </c>
      <c r="N104" t="n">
        <v>1.238</v>
      </c>
      <c r="O104" t="n">
        <v>73.90000000000001</v>
      </c>
      <c r="P104" t="n">
        <v>72.74299999999999</v>
      </c>
    </row>
    <row r="105">
      <c r="A105" s="5" t="inlineStr">
        <is>
          <t>Pilotes</t>
        </is>
      </c>
      <c r="B105" s="5" t="inlineStr">
        <is>
          <t>P3 Arranque (CYPE forces) σcp for αcw, dir Y</t>
        </is>
      </c>
      <c r="C105" s="21" t="n">
        <v>-1.238</v>
      </c>
      <c r="D105" s="21" t="n">
        <v>-1.24</v>
      </c>
      <c r="E105" s="22" t="n">
        <v>0.12921</v>
      </c>
      <c r="F105" s="12" t="inlineStr">
        <is>
          <t>PASS</t>
        </is>
      </c>
      <c r="G105" s="5" t="inlineStr">
        <is>
          <t>datos de CYPE (reproducción exacta)</t>
        </is>
      </c>
      <c r="H105" s="5" t="inlineStr">
        <is>
          <t>P292 table: [Esfuerzo cortante de agotamiento por compresión oblicua e... &gt; Cortante en la dirección Y] σcp</t>
        </is>
      </c>
      <c r="I105" s="5" t="inlineStr"/>
      <c r="M105" t="n">
        <v>325.78</v>
      </c>
      <c r="N105" t="n">
        <v>325.7808</v>
      </c>
      <c r="O105" t="n">
        <v>72.2</v>
      </c>
      <c r="P105" t="n">
        <v>72.065</v>
      </c>
    </row>
    <row r="106">
      <c r="A106" s="5" t="inlineStr">
        <is>
          <t>Pilotes</t>
        </is>
      </c>
      <c r="B106" s="5" t="inlineStr">
        <is>
          <t>P3 Arranque (CYPE forces) VRd,max with z = 0.9·d (CE)</t>
        </is>
      </c>
      <c r="C106" s="21" t="n">
        <v>953.1</v>
      </c>
      <c r="D106" s="21" t="n">
        <v>1005.36</v>
      </c>
      <c r="E106" s="22" t="n">
        <v>-5.198</v>
      </c>
      <c r="F106" s="26" t="inlineStr">
        <is>
          <t>INFO</t>
        </is>
      </c>
      <c r="G106" s="5" t="inlineStr">
        <is>
          <t>datos de CYPE (reproducción exacta)</t>
        </is>
      </c>
      <c r="H106" s="5" t="inlineStr">
        <is>
          <t>C12 (INFO)</t>
        </is>
      </c>
      <c r="I106" s="5" t="inlineStr">
        <is>
          <t>code-strict alternative, used for the verdict</t>
        </is>
      </c>
      <c r="M106" t="n">
        <v>68.52</v>
      </c>
      <c r="N106" t="n">
        <v>68.51949999999999</v>
      </c>
      <c r="O106" t="n">
        <v>73.3</v>
      </c>
      <c r="P106" t="n">
        <v>72.08499999999999</v>
      </c>
    </row>
    <row r="107">
      <c r="A107" s="5" t="inlineStr">
        <is>
          <t>Pilotes</t>
        </is>
      </c>
      <c r="B107" s="5" t="inlineStr">
        <is>
          <t>P3 Cabeza (SAP forces, ELU08) NEd</t>
        </is>
      </c>
      <c r="C107" s="21" t="n">
        <v>628.46</v>
      </c>
      <c r="D107" s="21" t="n">
        <v>620.0599999999999</v>
      </c>
      <c r="E107" s="22" t="n">
        <v>1.355</v>
      </c>
      <c r="F107" s="12" t="inlineStr">
        <is>
          <t>PASS</t>
        </is>
      </c>
      <c r="G107" s="5" t="inlineStr">
        <is>
          <t>fuerzas SAP frente a resultados CYPE (≤ 5 %)</t>
        </is>
      </c>
      <c r="H107" s="5" t="inlineStr">
        <is>
          <t>P245 table: [Comprobación de resistencia de la sección] NEd</t>
        </is>
      </c>
      <c r="I107" s="5" t="inlineStr"/>
      <c r="M107" t="n">
        <v>767</v>
      </c>
      <c r="N107" t="n">
        <v>766.9959</v>
      </c>
      <c r="O107" t="n">
        <v>7.1</v>
      </c>
      <c r="P107" t="n">
        <v>7.071</v>
      </c>
    </row>
    <row r="108">
      <c r="A108" s="5" t="inlineStr">
        <is>
          <t>Pilotes</t>
        </is>
      </c>
      <c r="B108" s="5" t="inlineStr">
        <is>
          <t>P3 Cabeza (SAP forces, ELU08) MEd,x 1st order</t>
        </is>
      </c>
      <c r="C108" s="21" t="n">
        <v>285.53</v>
      </c>
      <c r="D108" s="21" t="n">
        <v>288.36</v>
      </c>
      <c r="E108" s="22" t="n">
        <v>-0.97994</v>
      </c>
      <c r="F108" s="12" t="inlineStr">
        <is>
          <t>PASS</t>
        </is>
      </c>
      <c r="G108" s="5" t="inlineStr">
        <is>
          <t>fuerzas SAP frente a resultados CYPE (≤ 5 %)</t>
        </is>
      </c>
      <c r="H108" s="5" t="inlineStr">
        <is>
          <t>P245 table: [Comprobación de resistencia de la sección] MEd,x</t>
        </is>
      </c>
      <c r="I108" s="5" t="inlineStr"/>
      <c r="M108" t="n">
        <v>0.84</v>
      </c>
      <c r="N108" t="n">
        <v>0.8401999999999999</v>
      </c>
    </row>
    <row r="109">
      <c r="A109" s="5" t="inlineStr">
        <is>
          <t>Pilotes</t>
        </is>
      </c>
      <c r="B109" s="5" t="inlineStr">
        <is>
          <t>P3 Cabeza (SAP forces, ELU08) MEd,y 1st order</t>
        </is>
      </c>
      <c r="C109" s="21" t="n">
        <v>-15.521</v>
      </c>
      <c r="D109" s="21" t="n">
        <v>-3.81</v>
      </c>
      <c r="E109" s="22" t="n">
        <v>-307.37</v>
      </c>
      <c r="F109" s="26" t="inlineStr">
        <is>
          <t>INFO</t>
        </is>
      </c>
      <c r="G109" s="5" t="inlineStr">
        <is>
          <t>fuerzas SAP frente a resultados CYPE (≤ 5 %)</t>
        </is>
      </c>
      <c r="H109" s="5" t="inlineStr">
        <is>
          <t>P245 table: [Comprobación de resistencia de la sección] MEd,y</t>
        </is>
      </c>
      <c r="I109" s="5" t="inlineStr">
        <is>
          <t>minor-axis moment: SAP and CYPE differ in the longitudinal stiffness</t>
        </is>
      </c>
      <c r="M109" t="n">
        <v>432</v>
      </c>
      <c r="N109" t="n">
        <v>432</v>
      </c>
    </row>
    <row r="110">
      <c r="A110" s="5" t="inlineStr">
        <is>
          <t>Pilotes</t>
        </is>
      </c>
      <c r="B110" s="5" t="inlineStr">
        <is>
          <t>P3 Cabeza (SAP forces, ELU08) η1</t>
        </is>
      </c>
      <c r="C110" s="21" t="n">
        <v>0.6712900000000001</v>
      </c>
      <c r="D110" s="21" t="n">
        <v>0.67</v>
      </c>
      <c r="E110" s="22" t="n">
        <v>0.19205</v>
      </c>
      <c r="F110" s="12" t="inlineStr">
        <is>
          <t>PASS</t>
        </is>
      </c>
      <c r="G110" s="5" t="inlineStr">
        <is>
          <t>fuerzas SAP frente a resultados CYPE (≤ 5 %)</t>
        </is>
      </c>
      <c r="H110" s="5" t="inlineStr">
        <is>
          <t>P242 table: η (occurrence 1)</t>
        </is>
      </c>
      <c r="I110" s="5" t="inlineStr"/>
      <c r="M110" t="n">
        <v>1512</v>
      </c>
      <c r="N110" t="n">
        <v>1512</v>
      </c>
    </row>
    <row r="111">
      <c r="A111" s="5" t="inlineStr">
        <is>
          <t>Pilotes</t>
        </is>
      </c>
      <c r="B111" s="5" t="inlineStr">
        <is>
          <t>P3 Cabeza (SAP forces, ELU08) λlim</t>
        </is>
      </c>
      <c r="C111" s="21" t="n">
        <v>42.299</v>
      </c>
      <c r="D111" s="21" t="n">
        <v>42.58</v>
      </c>
      <c r="E111" s="22" t="n">
        <v>-0.6604</v>
      </c>
      <c r="F111" s="12" t="inlineStr">
        <is>
          <t>PASS</t>
        </is>
      </c>
      <c r="G111" s="5" t="inlineStr">
        <is>
          <t>fuerzas SAP frente a resultados CYPE (≤ 5 %)</t>
        </is>
      </c>
      <c r="H111" s="5" t="inlineStr">
        <is>
          <t>P245 table: [Comprobación del estado limite de inestabilidad &gt; En el eje x] λinf</t>
        </is>
      </c>
      <c r="I111" s="5" t="inlineStr"/>
      <c r="M111" t="n">
        <v>407.15</v>
      </c>
      <c r="N111" t="n">
        <v>407.1504</v>
      </c>
    </row>
    <row r="112">
      <c r="A112" s="5" t="inlineStr">
        <is>
          <t>Pilotes</t>
        </is>
      </c>
      <c r="B112" s="5" t="inlineStr">
        <is>
          <t>P3 Cabeza (SAP forces, ELU08) MSd,x</t>
        </is>
      </c>
      <c r="C112" s="21" t="n">
        <v>351.56</v>
      </c>
      <c r="D112" s="21" t="n">
        <v>353.51</v>
      </c>
      <c r="E112" s="22" t="n">
        <v>-0.55108</v>
      </c>
      <c r="F112" s="12" t="inlineStr">
        <is>
          <t>PASS</t>
        </is>
      </c>
      <c r="G112" s="5" t="inlineStr">
        <is>
          <t>fuerzas SAP frente a resultados CYPE (≤ 5 %)</t>
        </is>
      </c>
      <c r="H112" s="5" t="inlineStr">
        <is>
          <t>P245 table: [Comprobación del estado limite de inestabilidad] MSd,x</t>
        </is>
      </c>
      <c r="I112" s="5" t="inlineStr"/>
      <c r="M112" t="n">
        <v>0.958</v>
      </c>
      <c r="N112" t="n">
        <v>0.9583</v>
      </c>
    </row>
    <row r="113">
      <c r="A113" s="5" t="inlineStr">
        <is>
          <t>Pilotes</t>
        </is>
      </c>
      <c r="B113" s="5" t="inlineStr">
        <is>
          <t>P3 Cabeza (SAP forces, ELU08) MSd,y</t>
        </is>
      </c>
      <c r="C113" s="21" t="n">
        <v>-81.548</v>
      </c>
      <c r="D113" s="21" t="n">
        <v>-68.95</v>
      </c>
      <c r="E113" s="22" t="n">
        <v>-18.272</v>
      </c>
      <c r="F113" s="26" t="inlineStr">
        <is>
          <t>INFO</t>
        </is>
      </c>
      <c r="G113" s="5" t="inlineStr">
        <is>
          <t>fuerzas SAP frente a resultados CYPE (≤ 5 %)</t>
        </is>
      </c>
      <c r="H113" s="5" t="inlineStr">
        <is>
          <t>P245 table: [Comprobación del estado limite de inestabilidad] MSd,y</t>
        </is>
      </c>
      <c r="I113" s="5" t="inlineStr">
        <is>
          <t>minor-axis moment: SAP and CYPE differ in the longitudinal stiffness</t>
        </is>
      </c>
      <c r="M113" t="n">
        <v>0.258</v>
      </c>
      <c r="N113" t="n">
        <v>0.2581</v>
      </c>
    </row>
    <row r="114">
      <c r="A114" s="5" t="inlineStr">
        <is>
          <t>Pilotes</t>
        </is>
      </c>
      <c r="B114" s="5" t="inlineStr">
        <is>
          <t>P3 Cabeza (SAP forces, ELU08) η2</t>
        </is>
      </c>
      <c r="C114" s="21" t="n">
        <v>0.92019</v>
      </c>
      <c r="D114" s="21" t="n">
        <v>0.913</v>
      </c>
      <c r="E114" s="22" t="n">
        <v>0.7876300000000001</v>
      </c>
      <c r="F114" s="12" t="inlineStr">
        <is>
          <t>PASS</t>
        </is>
      </c>
      <c r="G114" s="5" t="inlineStr">
        <is>
          <t>fuerzas SAP frente a resultados CYPE (≤ 5 %)</t>
        </is>
      </c>
      <c r="H114" s="5" t="inlineStr">
        <is>
          <t>P242 table: η (occurrence 2)</t>
        </is>
      </c>
      <c r="I114" s="5" t="inlineStr"/>
      <c r="M114" t="n">
        <v>22.58</v>
      </c>
      <c r="N114" t="n">
        <v>22.5799</v>
      </c>
    </row>
    <row r="115">
      <c r="A115" s="5" t="inlineStr">
        <is>
          <t>Pilotes</t>
        </is>
      </c>
      <c r="B115" s="5" t="inlineStr">
        <is>
          <t>P3 Cabeza (SAP forces, ELU08) η VRd,max</t>
        </is>
      </c>
      <c r="C115" s="21" t="n">
        <v>0.08506</v>
      </c>
      <c r="D115" s="21" t="n">
        <v>0.08599999999999999</v>
      </c>
      <c r="E115" s="22" t="n">
        <v>-1.094</v>
      </c>
      <c r="F115" s="12" t="inlineStr">
        <is>
          <t>PASS</t>
        </is>
      </c>
      <c r="G115" s="5" t="inlineStr">
        <is>
          <t>fuerzas SAP frente a resultados CYPE (≤ 5 %)</t>
        </is>
      </c>
      <c r="H115" s="5" t="inlineStr">
        <is>
          <t>P237 table: [Se debe satisfacer] η (occurrence 1)</t>
        </is>
      </c>
      <c r="I115" s="5" t="inlineStr"/>
      <c r="M115" t="n">
        <v>5.09</v>
      </c>
      <c r="N115" t="n">
        <v>5.0854</v>
      </c>
    </row>
    <row r="116">
      <c r="A116" s="5" t="inlineStr">
        <is>
          <t>Pilotes</t>
        </is>
      </c>
      <c r="B116" s="5" t="inlineStr">
        <is>
          <t>P3 Cabeza (SAP forces) governing nm1 over ELU01-22 (ELU08)</t>
        </is>
      </c>
      <c r="C116" s="21" t="n">
        <v>0.6712900000000001</v>
      </c>
      <c r="D116" s="21" t="n">
        <v>0.67</v>
      </c>
      <c r="E116" s="22" t="n">
        <v>0.19205</v>
      </c>
      <c r="F116" s="12" t="inlineStr">
        <is>
          <t>PASS</t>
        </is>
      </c>
      <c r="G116" s="5" t="inlineStr">
        <is>
          <t>fuerzas SAP frente a resultados CYPE (≤ 5 %)</t>
        </is>
      </c>
      <c r="H116" s="5" t="inlineStr">
        <is>
          <t>P242 table: η (occurrence 1)</t>
        </is>
      </c>
      <c r="I116" s="5" t="inlineStr">
        <is>
          <t>CYPE prints the η1 of the η2-governing combination</t>
        </is>
      </c>
      <c r="M116" t="n">
        <v>28339.35</v>
      </c>
      <c r="N116" t="n">
        <v>28339.3524</v>
      </c>
    </row>
    <row r="117">
      <c r="A117" s="5" t="inlineStr">
        <is>
          <t>Pilotes</t>
        </is>
      </c>
      <c r="B117" s="5" t="inlineStr">
        <is>
          <t>P3 Cabeza (SAP forces) governing nm2 over ELU01-22 (ELU08)</t>
        </is>
      </c>
      <c r="C117" s="21" t="n">
        <v>0.92019</v>
      </c>
      <c r="D117" s="21" t="n">
        <v>0.913</v>
      </c>
      <c r="E117" s="22" t="n">
        <v>0.7876300000000001</v>
      </c>
      <c r="F117" s="12" t="inlineStr">
        <is>
          <t>PASS</t>
        </is>
      </c>
      <c r="G117" s="5" t="inlineStr">
        <is>
          <t>fuerzas SAP frente a resultados CYPE (≤ 5 %)</t>
        </is>
      </c>
      <c r="H117" s="5" t="inlineStr">
        <is>
          <t>P242 table: η (occurrence 2)</t>
        </is>
      </c>
      <c r="I117" s="5" t="inlineStr"/>
      <c r="M117" t="n">
        <v>6.37</v>
      </c>
      <c r="N117" t="n">
        <v>6.3692</v>
      </c>
    </row>
    <row r="118">
      <c r="A118" s="5" t="inlineStr">
        <is>
          <t>Pilotes</t>
        </is>
      </c>
      <c r="B118" s="5" t="inlineStr">
        <is>
          <t>P3 Cabeza (SAP forces) governing η VRd,c</t>
        </is>
      </c>
      <c r="C118" s="21" t="n">
        <v>0.54922</v>
      </c>
      <c r="D118" s="21" t="n">
        <v>0.552</v>
      </c>
      <c r="E118" s="22" t="n">
        <v>-0.50337</v>
      </c>
      <c r="F118" s="12" t="inlineStr">
        <is>
          <t>PASS</t>
        </is>
      </c>
      <c r="G118" s="5" t="inlineStr">
        <is>
          <t>fuerzas SAP frente a resultados CYPE (≤ 5 %)</t>
        </is>
      </c>
      <c r="H118" s="5" t="inlineStr">
        <is>
          <t>P237 table: [Se debe satisfacer] η (occurrence 2)</t>
        </is>
      </c>
      <c r="I118" s="5" t="inlineStr"/>
      <c r="M118" t="n">
        <v>15.1</v>
      </c>
      <c r="N118" t="n">
        <v>15.1009</v>
      </c>
    </row>
    <row r="119">
      <c r="A119" s="5" t="inlineStr">
        <is>
          <t>Pilotes</t>
        </is>
      </c>
      <c r="B119" s="5" t="inlineStr">
        <is>
          <t>P3 Arranque (SAP forces, ELU08) NEd</t>
        </is>
      </c>
      <c r="C119" s="21" t="n">
        <v>661.26</v>
      </c>
      <c r="D119" s="21" t="n">
        <v>655.55</v>
      </c>
      <c r="E119" s="22" t="n">
        <v>0.87082</v>
      </c>
      <c r="F119" s="12" t="inlineStr">
        <is>
          <t>PASS</t>
        </is>
      </c>
      <c r="G119" s="5" t="inlineStr">
        <is>
          <t>fuerzas SAP frente a resultados CYPE (≤ 5 %)</t>
        </is>
      </c>
      <c r="H119" s="5" t="inlineStr">
        <is>
          <t>P300 table: [Comprobación de resistencia de la sección] NEd</t>
        </is>
      </c>
      <c r="I119" s="5" t="inlineStr"/>
      <c r="M119" t="n">
        <v>13.72</v>
      </c>
      <c r="N119" t="n">
        <v>13.7248</v>
      </c>
    </row>
    <row r="120">
      <c r="A120" s="5" t="inlineStr">
        <is>
          <t>Pilotes</t>
        </is>
      </c>
      <c r="B120" s="5" t="inlineStr">
        <is>
          <t>P3 Arranque (SAP forces, ELU08) MEd,x 1st order</t>
        </is>
      </c>
      <c r="C120" s="21" t="n">
        <v>-281.91</v>
      </c>
      <c r="D120" s="21" t="n">
        <v>-283.56</v>
      </c>
      <c r="E120" s="22" t="n">
        <v>0.5823700000000001</v>
      </c>
      <c r="F120" s="12" t="inlineStr">
        <is>
          <t>PASS</t>
        </is>
      </c>
      <c r="G120" s="5" t="inlineStr">
        <is>
          <t>fuerzas SAP frente a resultados CYPE (≤ 5 %)</t>
        </is>
      </c>
      <c r="H120" s="5" t="inlineStr">
        <is>
          <t>P300 table: [Comprobación de resistencia de la sección] MEd,x</t>
        </is>
      </c>
      <c r="I120" s="5" t="inlineStr"/>
      <c r="M120" t="n">
        <v>4.73</v>
      </c>
      <c r="N120" t="n">
        <v>4.7329</v>
      </c>
    </row>
    <row r="121">
      <c r="A121" s="5" t="inlineStr">
        <is>
          <t>Pilotes</t>
        </is>
      </c>
      <c r="B121" s="5" t="inlineStr">
        <is>
          <t>P3 Arranque (SAP forces, ELU08) MEd,y 1st order</t>
        </is>
      </c>
      <c r="C121" s="21" t="n">
        <v>9.115</v>
      </c>
      <c r="D121" s="21" t="n">
        <v>2.79</v>
      </c>
      <c r="E121" s="22" t="n">
        <v>226.69</v>
      </c>
      <c r="F121" s="26" t="inlineStr">
        <is>
          <t>INFO</t>
        </is>
      </c>
      <c r="G121" s="5" t="inlineStr">
        <is>
          <t>fuerzas SAP frente a resultados CYPE (≤ 5 %)</t>
        </is>
      </c>
      <c r="H121" s="5" t="inlineStr">
        <is>
          <t>P300 table: [Comprobación de resistencia de la sección] MEd,y</t>
        </is>
      </c>
      <c r="I121" s="5" t="inlineStr">
        <is>
          <t>minor-axis moment: SAP and CYPE differ in the longitudinal stiffness</t>
        </is>
      </c>
      <c r="M121" t="n">
        <v>2.37</v>
      </c>
      <c r="N121" t="n">
        <v>2.3664</v>
      </c>
    </row>
    <row r="122">
      <c r="A122" s="5" t="inlineStr">
        <is>
          <t>Pilotes</t>
        </is>
      </c>
      <c r="B122" s="5" t="inlineStr">
        <is>
          <t>P3 Arranque (SAP forces, ELU08) η1</t>
        </is>
      </c>
      <c r="C122" s="21" t="n">
        <v>0.6428700000000001</v>
      </c>
      <c r="D122" s="21" t="n">
        <v>0.642</v>
      </c>
      <c r="E122" s="22" t="n">
        <v>0.13595</v>
      </c>
      <c r="F122" s="12" t="inlineStr">
        <is>
          <t>PASS</t>
        </is>
      </c>
      <c r="G122" s="5" t="inlineStr">
        <is>
          <t>fuerzas SAP frente a resultados CYPE (≤ 5 %)</t>
        </is>
      </c>
      <c r="H122" s="5" t="inlineStr">
        <is>
          <t>P297 table: η (occurrence 1)</t>
        </is>
      </c>
      <c r="I122" s="5" t="inlineStr"/>
      <c r="M122" t="n">
        <v>360</v>
      </c>
      <c r="N122" t="n">
        <v>360</v>
      </c>
    </row>
    <row r="123">
      <c r="A123" s="5" t="inlineStr">
        <is>
          <t>Pilotes</t>
        </is>
      </c>
      <c r="B123" s="5" t="inlineStr">
        <is>
          <t>P3 Arranque (SAP forces, ELU08) λlim</t>
        </is>
      </c>
      <c r="C123" s="21" t="n">
        <v>41.236</v>
      </c>
      <c r="D123" s="21" t="n">
        <v>41.42</v>
      </c>
      <c r="E123" s="22" t="n">
        <v>-0.44323</v>
      </c>
      <c r="F123" s="12" t="inlineStr">
        <is>
          <t>PASS</t>
        </is>
      </c>
      <c r="G123" s="5" t="inlineStr">
        <is>
          <t>fuerzas SAP frente a resultados CYPE (≤ 5 %)</t>
        </is>
      </c>
      <c r="H123" s="5" t="inlineStr">
        <is>
          <t>P300 table: [Comprobación del estado limite de inestabilidad &gt; En el eje x] λinf</t>
        </is>
      </c>
      <c r="I123" s="5" t="inlineStr"/>
      <c r="M123" t="n">
        <v>360</v>
      </c>
      <c r="N123" t="n">
        <v>360</v>
      </c>
    </row>
    <row r="124">
      <c r="A124" s="5" t="inlineStr">
        <is>
          <t>Pilotes</t>
        </is>
      </c>
      <c r="B124" s="5" t="inlineStr">
        <is>
          <t>P3 Arranque (SAP forces, ELU08) MSd,x</t>
        </is>
      </c>
      <c r="C124" s="21" t="n">
        <v>-351.01</v>
      </c>
      <c r="D124" s="21" t="n">
        <v>-352.07</v>
      </c>
      <c r="E124" s="22" t="n">
        <v>0.30035</v>
      </c>
      <c r="F124" s="12" t="inlineStr">
        <is>
          <t>PASS</t>
        </is>
      </c>
      <c r="G124" s="5" t="inlineStr">
        <is>
          <t>fuerzas SAP frente a resultados CYPE (≤ 5 %)</t>
        </is>
      </c>
      <c r="H124" s="5" t="inlineStr">
        <is>
          <t>P300 table: [Comprobación del estado limite de inestabilidad] MSd,x</t>
        </is>
      </c>
      <c r="I124" s="5" t="inlineStr"/>
      <c r="M124" t="n">
        <v>63</v>
      </c>
      <c r="N124" t="n">
        <v>62.5</v>
      </c>
    </row>
    <row r="125">
      <c r="A125" s="5" t="inlineStr">
        <is>
          <t>Pilotes</t>
        </is>
      </c>
      <c r="B125" s="5" t="inlineStr">
        <is>
          <t>P3 Arranque (SAP forces, ELU08) MSd,y</t>
        </is>
      </c>
      <c r="C125" s="21" t="n">
        <v>78.218</v>
      </c>
      <c r="D125" s="21" t="n">
        <v>71.29000000000001</v>
      </c>
      <c r="E125" s="22" t="n">
        <v>9.718999999999999</v>
      </c>
      <c r="F125" s="26" t="inlineStr">
        <is>
          <t>INFO</t>
        </is>
      </c>
      <c r="G125" s="5" t="inlineStr">
        <is>
          <t>fuerzas SAP frente a resultados CYPE (≤ 5 %)</t>
        </is>
      </c>
      <c r="H125" s="5" t="inlineStr">
        <is>
          <t>P300 table: [Comprobación del estado limite de inestabilidad] MSd,y</t>
        </is>
      </c>
      <c r="I125" s="5" t="inlineStr">
        <is>
          <t>minor-axis moment: SAP and CYPE differ in the longitudinal stiffness</t>
        </is>
      </c>
      <c r="M125" t="n">
        <v>150</v>
      </c>
      <c r="N125" t="n">
        <v>150</v>
      </c>
    </row>
    <row r="126">
      <c r="A126" s="5" t="inlineStr">
        <is>
          <t>Pilotes</t>
        </is>
      </c>
      <c r="B126" s="5" t="inlineStr">
        <is>
          <t>P3 Arranque (SAP forces, ELU08) η2</t>
        </is>
      </c>
      <c r="C126" s="21" t="n">
        <v>0.89801</v>
      </c>
      <c r="D126" s="21" t="n">
        <v>0.894</v>
      </c>
      <c r="E126" s="22" t="n">
        <v>0.44881</v>
      </c>
      <c r="F126" s="12" t="inlineStr">
        <is>
          <t>PASS</t>
        </is>
      </c>
      <c r="G126" s="5" t="inlineStr">
        <is>
          <t>fuerzas SAP frente a resultados CYPE (≤ 5 %)</t>
        </is>
      </c>
      <c r="H126" s="5" t="inlineStr">
        <is>
          <t>P297 table: η (occurrence 2)</t>
        </is>
      </c>
      <c r="I126" s="5" t="inlineStr"/>
      <c r="M126" t="n">
        <v>2.2</v>
      </c>
      <c r="N126" t="n">
        <v>2.2048</v>
      </c>
    </row>
    <row r="127">
      <c r="A127" s="5" t="inlineStr">
        <is>
          <t>Pilotes</t>
        </is>
      </c>
      <c r="B127" s="5" t="inlineStr">
        <is>
          <t>P3 Arranque (SAP forces, ELU08) η VRd,max</t>
        </is>
      </c>
      <c r="C127" s="21" t="n">
        <v>0.08432000000000001</v>
      </c>
      <c r="D127" s="21" t="n">
        <v>0.08500000000000001</v>
      </c>
      <c r="E127" s="22" t="n">
        <v>-0.79884</v>
      </c>
      <c r="F127" s="12" t="inlineStr">
        <is>
          <t>PASS</t>
        </is>
      </c>
      <c r="G127" s="5" t="inlineStr">
        <is>
          <t>fuerzas SAP frente a resultados CYPE (≤ 5 %)</t>
        </is>
      </c>
      <c r="H127" s="5" t="inlineStr">
        <is>
          <t>P292 table: [Se debe satisfacer] η</t>
        </is>
      </c>
      <c r="I127" s="5" t="inlineStr"/>
      <c r="M127" t="n">
        <v>125.21</v>
      </c>
      <c r="N127" t="n">
        <v>125.2086</v>
      </c>
    </row>
    <row r="128">
      <c r="A128" s="5" t="inlineStr">
        <is>
          <t>Pilotes</t>
        </is>
      </c>
      <c r="B128" s="5" t="inlineStr">
        <is>
          <t>P3 Arranque (SAP forces) governing nm1 over ELU01-22 (ELU05)</t>
        </is>
      </c>
      <c r="C128" s="21" t="n">
        <v>0.66504</v>
      </c>
      <c r="D128" s="21" t="n">
        <v>0.642</v>
      </c>
      <c r="E128" s="22" t="n">
        <v>3.588</v>
      </c>
      <c r="F128" s="12" t="inlineStr">
        <is>
          <t>PASS</t>
        </is>
      </c>
      <c r="G128" s="5" t="inlineStr">
        <is>
          <t>fuerzas SAP frente a resultados CYPE (≤ 5 %)</t>
        </is>
      </c>
      <c r="H128" s="5" t="inlineStr">
        <is>
          <t>P297 table: η (occurrence 1)</t>
        </is>
      </c>
      <c r="I128" s="5" t="inlineStr">
        <is>
          <t>CYPE prints the η1 of the η2-governing combination</t>
        </is>
      </c>
      <c r="M128" t="n">
        <v>99.84</v>
      </c>
      <c r="N128" t="n">
        <v>99.8378</v>
      </c>
    </row>
    <row r="129">
      <c r="A129" s="5" t="inlineStr">
        <is>
          <t>Pilotes</t>
        </is>
      </c>
      <c r="B129" s="5" t="inlineStr">
        <is>
          <t>P3 Arranque (SAP forces) governing nm2 over ELU01-22 (ELU08)</t>
        </is>
      </c>
      <c r="C129" s="21" t="n">
        <v>0.89801</v>
      </c>
      <c r="D129" s="21" t="n">
        <v>0.894</v>
      </c>
      <c r="E129" s="22" t="n">
        <v>0.44881</v>
      </c>
      <c r="F129" s="12" t="inlineStr">
        <is>
          <t>PASS</t>
        </is>
      </c>
      <c r="G129" s="5" t="inlineStr">
        <is>
          <t>fuerzas SAP frente a resultados CYPE (≤ 5 %)</t>
        </is>
      </c>
      <c r="H129" s="5" t="inlineStr">
        <is>
          <t>P297 table: η (occurrence 2)</t>
        </is>
      </c>
      <c r="I129" s="5" t="inlineStr"/>
      <c r="M129" t="n">
        <v>12.2</v>
      </c>
      <c r="N129" t="n">
        <v>12.2</v>
      </c>
    </row>
    <row r="130">
      <c r="A130" s="5" t="inlineStr">
        <is>
          <t>Pilotes</t>
        </is>
      </c>
      <c r="B130" s="5" t="inlineStr">
        <is>
          <t>P1 Cabeza 'Aprov.' N,M (ray, SAP forces)</t>
        </is>
      </c>
      <c r="C130" s="21" t="n">
        <v>87.21899999999999</v>
      </c>
      <c r="D130" s="21" t="n">
        <v>84.09999999999999</v>
      </c>
      <c r="E130" s="22" t="n">
        <v>3.708</v>
      </c>
      <c r="F130" s="12" t="inlineStr">
        <is>
          <t>PASS</t>
        </is>
      </c>
      <c r="G130" s="5" t="inlineStr">
        <is>
          <t>fuerzas SAP frente a resultados CYPE (≤ 5 %)</t>
        </is>
      </c>
      <c r="H130" s="5" t="inlineStr">
        <is>
          <t>P1742 table: Cabeza G, Q, V(3)</t>
        </is>
      </c>
      <c r="I130" s="5" t="inlineStr">
        <is>
          <t>listing ≈ 1.014 × ray η (systematic, see meta)</t>
        </is>
      </c>
      <c r="M130" t="n">
        <v>6.1</v>
      </c>
      <c r="N130" t="n">
        <v>6.1</v>
      </c>
    </row>
    <row r="131">
      <c r="A131" s="5" t="inlineStr">
        <is>
          <t>Pilotes</t>
        </is>
      </c>
      <c r="B131" s="5" t="inlineStr">
        <is>
          <t>P1 Cabeza 'Aprov.' Q (SAP forces)</t>
        </is>
      </c>
      <c r="C131" s="21" t="n">
        <v>57.151</v>
      </c>
      <c r="D131" s="21" t="n">
        <v>57.3</v>
      </c>
      <c r="E131" s="22" t="n">
        <v>-0.26073</v>
      </c>
      <c r="F131" s="12" t="inlineStr">
        <is>
          <t>PASS</t>
        </is>
      </c>
      <c r="G131" s="5" t="inlineStr">
        <is>
          <t>fuerzas SAP frente a resultados CYPE (≤ 5 %)</t>
        </is>
      </c>
      <c r="H131" s="5" t="inlineStr">
        <is>
          <t>P1742 table: Cabeza G, Q, V(3)</t>
        </is>
      </c>
      <c r="I131" s="5" t="inlineStr"/>
      <c r="M131" t="n">
        <v>0.1486</v>
      </c>
      <c r="N131" t="n">
        <v>0.1486</v>
      </c>
    </row>
    <row r="132">
      <c r="A132" s="5" t="inlineStr">
        <is>
          <t>Pilotes</t>
        </is>
      </c>
      <c r="B132" s="5" t="inlineStr">
        <is>
          <t>P1 Pie 'Aprov.' N,M (ray, SAP forces)</t>
        </is>
      </c>
      <c r="C132" s="21" t="n">
        <v>86.84999999999999</v>
      </c>
      <c r="D132" s="21" t="n">
        <v>85.7</v>
      </c>
      <c r="E132" s="22" t="n">
        <v>1.342</v>
      </c>
      <c r="F132" s="12" t="inlineStr">
        <is>
          <t>PASS</t>
        </is>
      </c>
      <c r="G132" s="5" t="inlineStr">
        <is>
          <t>fuerzas SAP frente a resultados CYPE (≤ 5 %)</t>
        </is>
      </c>
      <c r="H132" s="5" t="inlineStr">
        <is>
          <t>P1742 table: Pie G, Q, V(3)</t>
        </is>
      </c>
      <c r="I132" s="5" t="inlineStr">
        <is>
          <t>listing ≈ 1.014 × ray η (systematic, see meta)</t>
        </is>
      </c>
      <c r="M132" t="n">
        <v>15.98</v>
      </c>
      <c r="N132" t="n">
        <v>15.9767</v>
      </c>
    </row>
    <row r="133">
      <c r="A133" s="5" t="inlineStr">
        <is>
          <t>Pilotes</t>
        </is>
      </c>
      <c r="B133" s="5" t="inlineStr">
        <is>
          <t>P1 Pie 'Aprov.' Q (SAP forces)</t>
        </is>
      </c>
      <c r="C133" s="21" t="n">
        <v>56.172</v>
      </c>
      <c r="D133" s="21" t="n">
        <v>56.2</v>
      </c>
      <c r="E133" s="22" t="n">
        <v>-0.04967</v>
      </c>
      <c r="F133" s="12" t="inlineStr">
        <is>
          <t>PASS</t>
        </is>
      </c>
      <c r="G133" s="5" t="inlineStr">
        <is>
          <t>fuerzas SAP frente a resultados CYPE (≤ 5 %)</t>
        </is>
      </c>
      <c r="H133" s="5" t="inlineStr">
        <is>
          <t>P1742 table: Pie G, Q, V(3)</t>
        </is>
      </c>
      <c r="I133" s="5" t="inlineStr"/>
      <c r="M133" t="n">
        <v>13.8</v>
      </c>
      <c r="N133" t="n">
        <v>13.7992</v>
      </c>
    </row>
    <row r="134">
      <c r="A134" s="5" t="inlineStr">
        <is>
          <t>Pilotes</t>
        </is>
      </c>
      <c r="B134" s="5" t="inlineStr">
        <is>
          <t>P1 Arranque 'Aprov.' N,M (ray, SAP forces)</t>
        </is>
      </c>
      <c r="C134" s="21" t="n">
        <v>85.818</v>
      </c>
      <c r="D134" s="21" t="n">
        <v>84.7</v>
      </c>
      <c r="E134" s="22" t="n">
        <v>1.32</v>
      </c>
      <c r="F134" s="12" t="inlineStr">
        <is>
          <t>PASS</t>
        </is>
      </c>
      <c r="G134" s="5" t="inlineStr">
        <is>
          <t>fuerzas SAP frente a resultados CYPE (≤ 5 %)</t>
        </is>
      </c>
      <c r="H134" s="5" t="inlineStr">
        <is>
          <t>P1742 table: Arranque G, Q, V(3)</t>
        </is>
      </c>
      <c r="I134" s="5" t="inlineStr">
        <is>
          <t>listing ≈ 1.014 × ray η (systematic, see meta)</t>
        </is>
      </c>
      <c r="M134" t="n">
        <v>93.40000000000001</v>
      </c>
      <c r="N134" t="n">
        <v>93.2488</v>
      </c>
    </row>
    <row r="135">
      <c r="A135" s="5" t="inlineStr">
        <is>
          <t>Pilotes</t>
        </is>
      </c>
      <c r="B135" s="5" t="inlineStr">
        <is>
          <t>P1 Arranque 'Aprov.' Q (SAP forces)</t>
        </is>
      </c>
      <c r="C135" s="21" t="n">
        <v>8.128</v>
      </c>
      <c r="D135" s="21" t="n">
        <v>8.1</v>
      </c>
      <c r="E135" s="22" t="n">
        <v>0.34584</v>
      </c>
      <c r="F135" s="12" t="inlineStr">
        <is>
          <t>PASS</t>
        </is>
      </c>
      <c r="G135" s="5" t="inlineStr">
        <is>
          <t>fuerzas SAP frente a resultados CYPE (≤ 5 %)</t>
        </is>
      </c>
      <c r="H135" s="5" t="inlineStr">
        <is>
          <t>P1742 table: Arranque G, Q, V(3)</t>
        </is>
      </c>
      <c r="I135" s="5" t="inlineStr"/>
      <c r="M135" t="n">
        <v>14.56</v>
      </c>
      <c r="N135" t="n">
        <v>14.5583</v>
      </c>
    </row>
    <row r="136">
      <c r="A136" s="5" t="inlineStr">
        <is>
          <t>Pilotes</t>
        </is>
      </c>
      <c r="B136" s="5" t="inlineStr">
        <is>
          <t>P2 Cabeza 'Aprov.' N,M (ray, SAP forces)</t>
        </is>
      </c>
      <c r="C136" s="21" t="n">
        <v>79.301</v>
      </c>
      <c r="D136" s="21" t="n">
        <v>80.90000000000001</v>
      </c>
      <c r="E136" s="22" t="n">
        <v>-1.977</v>
      </c>
      <c r="F136" s="12" t="inlineStr">
        <is>
          <t>PASS</t>
        </is>
      </c>
      <c r="G136" s="5" t="inlineStr">
        <is>
          <t>fuerzas SAP frente a resultados CYPE (≤ 5 %)</t>
        </is>
      </c>
      <c r="H136" s="5" t="inlineStr">
        <is>
          <t>P1747 table: Cabeza G, V(2)</t>
        </is>
      </c>
      <c r="I136" s="5" t="inlineStr">
        <is>
          <t>listing ≈ 1.014 × ray η (systematic, see meta)</t>
        </is>
      </c>
      <c r="M136" t="n">
        <v>12.38</v>
      </c>
      <c r="N136" t="n">
        <v>12.381</v>
      </c>
    </row>
    <row r="137">
      <c r="A137" s="5" t="inlineStr">
        <is>
          <t>Pilotes</t>
        </is>
      </c>
      <c r="B137" s="5" t="inlineStr">
        <is>
          <t>P2 Cabeza 'Aprov.' Q (SAP forces)</t>
        </is>
      </c>
      <c r="C137" s="21" t="n">
        <v>83.675</v>
      </c>
      <c r="D137" s="21" t="n">
        <v>84.3</v>
      </c>
      <c r="E137" s="22" t="n">
        <v>-0.74159</v>
      </c>
      <c r="F137" s="12" t="inlineStr">
        <is>
          <t>PASS</t>
        </is>
      </c>
      <c r="G137" s="5" t="inlineStr">
        <is>
          <t>fuerzas SAP frente a resultados CYPE (≤ 5 %)</t>
        </is>
      </c>
      <c r="H137" s="5" t="inlineStr">
        <is>
          <t>P1747 table: Cabeza G, V(2)</t>
        </is>
      </c>
      <c r="I137" s="5" t="inlineStr"/>
      <c r="M137" t="n">
        <v>85.40000000000001</v>
      </c>
      <c r="N137" t="n">
        <v>85.1846</v>
      </c>
    </row>
    <row r="138">
      <c r="A138" s="5" t="inlineStr">
        <is>
          <t>Pilotes</t>
        </is>
      </c>
      <c r="B138" s="5" t="inlineStr">
        <is>
          <t>P2 Pie 'Aprov.' N,M (ray, SAP forces)</t>
        </is>
      </c>
      <c r="C138" s="21" t="n">
        <v>81.13</v>
      </c>
      <c r="D138" s="21" t="n">
        <v>82.5</v>
      </c>
      <c r="E138" s="22" t="n">
        <v>-1.661</v>
      </c>
      <c r="F138" s="12" t="inlineStr">
        <is>
          <t>PASS</t>
        </is>
      </c>
      <c r="G138" s="5" t="inlineStr">
        <is>
          <t>fuerzas SAP frente a resultados CYPE (≤ 5 %)</t>
        </is>
      </c>
      <c r="H138" s="5" t="inlineStr">
        <is>
          <t>P1747 table: Pie G, V(2)</t>
        </is>
      </c>
      <c r="I138" s="5" t="inlineStr">
        <is>
          <t>listing ≈ 1.014 × ray η (systematic, see meta)</t>
        </is>
      </c>
      <c r="M138" t="n">
        <v>4.6</v>
      </c>
      <c r="N138" t="n">
        <v>4.5848</v>
      </c>
    </row>
    <row r="139">
      <c r="A139" s="5" t="inlineStr">
        <is>
          <t>Pilotes</t>
        </is>
      </c>
      <c r="B139" s="5" t="inlineStr">
        <is>
          <t>P2 Pie 'Aprov.' Q (SAP forces)</t>
        </is>
      </c>
      <c r="C139" s="21" t="n">
        <v>81.59999999999999</v>
      </c>
      <c r="D139" s="21" t="n">
        <v>82</v>
      </c>
      <c r="E139" s="22" t="n">
        <v>-0.48785</v>
      </c>
      <c r="F139" s="12" t="inlineStr">
        <is>
          <t>PASS</t>
        </is>
      </c>
      <c r="G139" s="5" t="inlineStr">
        <is>
          <t>fuerzas SAP frente a resultados CYPE (≤ 5 %)</t>
        </is>
      </c>
      <c r="H139" s="5" t="inlineStr">
        <is>
          <t>P1747 table: Pie G, V(2)</t>
        </is>
      </c>
      <c r="I139" s="5" t="inlineStr"/>
      <c r="M139" t="n">
        <v>4.9</v>
      </c>
      <c r="N139" t="n">
        <v>4.8763</v>
      </c>
    </row>
    <row r="140">
      <c r="A140" s="5" t="inlineStr">
        <is>
          <t>Pilotes</t>
        </is>
      </c>
      <c r="B140" s="5" t="inlineStr">
        <is>
          <t>P2 Arranque 'Aprov.' N,M (ray, SAP forces)</t>
        </is>
      </c>
      <c r="C140" s="21" t="n">
        <v>80.399</v>
      </c>
      <c r="D140" s="21" t="n">
        <v>81.90000000000001</v>
      </c>
      <c r="E140" s="22" t="n">
        <v>-1.833</v>
      </c>
      <c r="F140" s="12" t="inlineStr">
        <is>
          <t>PASS</t>
        </is>
      </c>
      <c r="G140" s="5" t="inlineStr">
        <is>
          <t>fuerzas SAP frente a resultados CYPE (≤ 5 %)</t>
        </is>
      </c>
      <c r="H140" s="5" t="inlineStr">
        <is>
          <t>P1747 table: Arranque G, V(2)</t>
        </is>
      </c>
      <c r="I140" s="5" t="inlineStr">
        <is>
          <t>listing ≈ 1.014 × ray η (systematic, see meta)</t>
        </is>
      </c>
      <c r="M140" t="n">
        <v>15.3</v>
      </c>
      <c r="N140" t="n">
        <v>15.3159</v>
      </c>
    </row>
    <row r="141">
      <c r="A141" s="5" t="inlineStr">
        <is>
          <t>Pilotes</t>
        </is>
      </c>
      <c r="B141" s="5" t="inlineStr">
        <is>
          <t>P2 Arranque 'Aprov.' Q (SAP forces)</t>
        </is>
      </c>
      <c r="C141" s="21" t="n">
        <v>7.866</v>
      </c>
      <c r="D141" s="21" t="n">
        <v>7.9</v>
      </c>
      <c r="E141" s="22" t="n">
        <v>-0.43604</v>
      </c>
      <c r="F141" s="12" t="inlineStr">
        <is>
          <t>PASS</t>
        </is>
      </c>
      <c r="G141" s="5" t="inlineStr">
        <is>
          <t>fuerzas SAP frente a resultados CYPE (≤ 5 %)</t>
        </is>
      </c>
      <c r="H141" s="5" t="inlineStr">
        <is>
          <t>P1747 table: Arranque G, V(2)</t>
        </is>
      </c>
      <c r="I141" s="5" t="inlineStr"/>
      <c r="M141" t="n">
        <v>8.279999999999999</v>
      </c>
      <c r="N141" t="n">
        <v>8.2814</v>
      </c>
    </row>
    <row r="142">
      <c r="A142" s="5" t="inlineStr">
        <is>
          <t>Pilotes</t>
        </is>
      </c>
      <c r="B142" s="5" t="inlineStr">
        <is>
          <t>P3 Cabeza 'Aprov.' N,M (ray, SAP forces)</t>
        </is>
      </c>
      <c r="C142" s="21" t="n">
        <v>92.01900000000001</v>
      </c>
      <c r="D142" s="21" t="n">
        <v>92.5</v>
      </c>
      <c r="E142" s="22" t="n">
        <v>-0.51988</v>
      </c>
      <c r="F142" s="12" t="inlineStr">
        <is>
          <t>PASS</t>
        </is>
      </c>
      <c r="G142" s="5" t="inlineStr">
        <is>
          <t>fuerzas SAP frente a resultados CYPE (≤ 5 %)</t>
        </is>
      </c>
      <c r="H142" s="5" t="inlineStr">
        <is>
          <t>P1752 table: Cabeza G, Q, V(3)</t>
        </is>
      </c>
      <c r="I142" s="5" t="inlineStr">
        <is>
          <t>listing ≈ 1.014 × ray η (systematic, see meta)</t>
        </is>
      </c>
      <c r="M142" t="n">
        <v>15.71</v>
      </c>
      <c r="N142" t="n">
        <v>15.71</v>
      </c>
    </row>
    <row r="143">
      <c r="A143" s="5" t="inlineStr">
        <is>
          <t>Pilotes</t>
        </is>
      </c>
      <c r="B143" s="5" t="inlineStr">
        <is>
          <t>P3 Cabeza 'Aprov.' Q (SAP forces)</t>
        </is>
      </c>
      <c r="C143" s="21" t="n">
        <v>54.922</v>
      </c>
      <c r="D143" s="21" t="n">
        <v>55.2</v>
      </c>
      <c r="E143" s="22" t="n">
        <v>-0.50337</v>
      </c>
      <c r="F143" s="12" t="inlineStr">
        <is>
          <t>PASS</t>
        </is>
      </c>
      <c r="G143" s="5" t="inlineStr">
        <is>
          <t>fuerzas SAP frente a resultados CYPE (≤ 5 %)</t>
        </is>
      </c>
      <c r="H143" s="5" t="inlineStr">
        <is>
          <t>P1752 table: Cabeza G, Q, V(3)</t>
        </is>
      </c>
      <c r="I143" s="5" t="inlineStr"/>
      <c r="M143" t="n">
        <v>18.85</v>
      </c>
      <c r="N143" t="n">
        <v>18.85</v>
      </c>
    </row>
    <row r="144">
      <c r="A144" s="5" t="inlineStr">
        <is>
          <t>Pilotes</t>
        </is>
      </c>
      <c r="B144" s="5" t="inlineStr">
        <is>
          <t>P3 Pie 'Aprov.' N,M (ray, SAP forces)</t>
        </is>
      </c>
      <c r="C144" s="21" t="n">
        <v>90.943</v>
      </c>
      <c r="D144" s="21" t="n">
        <v>91.90000000000001</v>
      </c>
      <c r="E144" s="22" t="n">
        <v>-1.041</v>
      </c>
      <c r="F144" s="12" t="inlineStr">
        <is>
          <t>PASS</t>
        </is>
      </c>
      <c r="G144" s="5" t="inlineStr">
        <is>
          <t>fuerzas SAP frente a resultados CYPE (≤ 5 %)</t>
        </is>
      </c>
      <c r="H144" s="5" t="inlineStr">
        <is>
          <t>P1752 table: Pie G, Q, V(3)</t>
        </is>
      </c>
      <c r="I144" s="5" t="inlineStr">
        <is>
          <t>listing ≈ 1.014 × ray η (systematic, see meta)</t>
        </is>
      </c>
      <c r="M144" t="n">
        <v>23.56</v>
      </c>
      <c r="N144" t="n">
        <v>23.56</v>
      </c>
    </row>
    <row r="145">
      <c r="A145" s="5" t="inlineStr">
        <is>
          <t>Pilotes</t>
        </is>
      </c>
      <c r="B145" s="5" t="inlineStr">
        <is>
          <t>P3 Pie 'Aprov.' Q (SAP forces)</t>
        </is>
      </c>
      <c r="C145" s="21" t="n">
        <v>54.016</v>
      </c>
      <c r="D145" s="21" t="n">
        <v>54.2</v>
      </c>
      <c r="E145" s="22" t="n">
        <v>-0.3396</v>
      </c>
      <c r="F145" s="12" t="inlineStr">
        <is>
          <t>PASS</t>
        </is>
      </c>
      <c r="G145" s="5" t="inlineStr">
        <is>
          <t>fuerzas SAP frente a resultados CYPE (≤ 5 %)</t>
        </is>
      </c>
      <c r="H145" s="5" t="inlineStr">
        <is>
          <t>P1752 table: Pie G, Q, V(3)</t>
        </is>
      </c>
      <c r="I145" s="5" t="inlineStr"/>
      <c r="M145" t="n">
        <v>15.71</v>
      </c>
      <c r="N145" t="n">
        <v>15.71</v>
      </c>
    </row>
    <row r="146">
      <c r="A146" s="5" t="inlineStr">
        <is>
          <t>Pilotes</t>
        </is>
      </c>
      <c r="B146" s="5" t="inlineStr">
        <is>
          <t>P3 Arranque 'Aprov.' N,M (ray, SAP forces)</t>
        </is>
      </c>
      <c r="C146" s="21" t="n">
        <v>89.801</v>
      </c>
      <c r="D146" s="21" t="n">
        <v>90.7</v>
      </c>
      <c r="E146" s="22" t="n">
        <v>-0.99092</v>
      </c>
      <c r="F146" s="12" t="inlineStr">
        <is>
          <t>PASS</t>
        </is>
      </c>
      <c r="G146" s="5" t="inlineStr">
        <is>
          <t>fuerzas SAP frente a resultados CYPE (≤ 5 %)</t>
        </is>
      </c>
      <c r="H146" s="5" t="inlineStr">
        <is>
          <t>P1752 table: Arranque G, Q, V(3)</t>
        </is>
      </c>
      <c r="I146" s="5" t="inlineStr">
        <is>
          <t>listing ≈ 1.014 × ray η (systematic, see meta)</t>
        </is>
      </c>
      <c r="M146" t="n">
        <v>21.99</v>
      </c>
      <c r="N146" t="n">
        <v>21.99</v>
      </c>
    </row>
    <row r="147">
      <c r="A147" s="5" t="inlineStr">
        <is>
          <t>Pilotes</t>
        </is>
      </c>
      <c r="B147" s="5" t="inlineStr">
        <is>
          <t>P3 Arranque 'Aprov.' Q (SAP forces)</t>
        </is>
      </c>
      <c r="C147" s="21" t="n">
        <v>8.432</v>
      </c>
      <c r="D147" s="21" t="n">
        <v>8.5</v>
      </c>
      <c r="E147" s="22" t="n">
        <v>-0.79884</v>
      </c>
      <c r="F147" s="12" t="inlineStr">
        <is>
          <t>PASS</t>
        </is>
      </c>
      <c r="G147" s="5" t="inlineStr">
        <is>
          <t>fuerzas SAP frente a resultados CYPE (≤ 5 %)</t>
        </is>
      </c>
      <c r="H147" s="5" t="inlineStr">
        <is>
          <t>P1752 table: Arranque G, Q, V(3)</t>
        </is>
      </c>
      <c r="I147" s="5" t="inlineStr"/>
      <c r="M147" t="n">
        <v>23.56</v>
      </c>
      <c r="N147" t="n">
        <v>23.56</v>
      </c>
    </row>
    <row r="148">
      <c r="A148" s="5" t="inlineStr">
        <is>
          <t>Pilotes</t>
        </is>
      </c>
      <c r="B148" s="5" t="inlineStr">
        <is>
          <t>P4 Cabeza 'Aprov.' N,M (ray, SAP forces)</t>
        </is>
      </c>
      <c r="C148" s="21" t="n">
        <v>72.157</v>
      </c>
      <c r="D148" s="21" t="n">
        <v>73.2</v>
      </c>
      <c r="E148" s="22" t="n">
        <v>-1.425</v>
      </c>
      <c r="F148" s="12" t="inlineStr">
        <is>
          <t>PASS</t>
        </is>
      </c>
      <c r="G148" s="5" t="inlineStr">
        <is>
          <t>fuerzas SAP frente a resultados CYPE (≤ 5 %)</t>
        </is>
      </c>
      <c r="H148" s="5" t="inlineStr">
        <is>
          <t>P1757 table: Cabeza G, V(2)</t>
        </is>
      </c>
      <c r="I148" s="5" t="inlineStr">
        <is>
          <t>listing ≈ 1.014 × ray η (systematic, see meta)</t>
        </is>
      </c>
      <c r="M148" t="n">
        <v>15.71</v>
      </c>
      <c r="N148" t="n">
        <v>15.71</v>
      </c>
    </row>
    <row r="149">
      <c r="A149" s="5" t="inlineStr">
        <is>
          <t>Pilotes</t>
        </is>
      </c>
      <c r="B149" s="5" t="inlineStr">
        <is>
          <t>P4 Cabeza 'Aprov.' Q (SAP forces)</t>
        </is>
      </c>
      <c r="C149" s="21" t="n">
        <v>75.429</v>
      </c>
      <c r="D149" s="21" t="n">
        <v>75.40000000000001</v>
      </c>
      <c r="E149" s="22" t="n">
        <v>0.03892</v>
      </c>
      <c r="F149" s="12" t="inlineStr">
        <is>
          <t>PASS</t>
        </is>
      </c>
      <c r="G149" s="5" t="inlineStr">
        <is>
          <t>fuerzas SAP frente a resultados CYPE (≤ 5 %)</t>
        </is>
      </c>
      <c r="H149" s="5" t="inlineStr">
        <is>
          <t>P1757 table: Cabeza G, V(2)</t>
        </is>
      </c>
      <c r="I149" s="5" t="inlineStr"/>
      <c r="M149" t="n">
        <v>21.99</v>
      </c>
      <c r="N149" t="n">
        <v>21.99</v>
      </c>
    </row>
    <row r="150">
      <c r="A150" s="5" t="inlineStr">
        <is>
          <t>Pilotes</t>
        </is>
      </c>
      <c r="B150" s="5" t="inlineStr">
        <is>
          <t>P4 Pie 'Aprov.' N,M (ray, SAP forces)</t>
        </is>
      </c>
      <c r="C150" s="21" t="n">
        <v>76.02800000000001</v>
      </c>
      <c r="D150" s="21" t="n">
        <v>77.09999999999999</v>
      </c>
      <c r="E150" s="22" t="n">
        <v>-1.391</v>
      </c>
      <c r="F150" s="12" t="inlineStr">
        <is>
          <t>PASS</t>
        </is>
      </c>
      <c r="G150" s="5" t="inlineStr">
        <is>
          <t>fuerzas SAP frente a resultados CYPE (≤ 5 %)</t>
        </is>
      </c>
      <c r="H150" s="5" t="inlineStr">
        <is>
          <t>P1757 table: Pie G, V(2)</t>
        </is>
      </c>
      <c r="I150" s="5" t="inlineStr">
        <is>
          <t>listing ≈ 1.014 × ray η (systematic, see meta)</t>
        </is>
      </c>
      <c r="M150" t="n">
        <v>23.56</v>
      </c>
      <c r="N150" t="n">
        <v>23.56</v>
      </c>
    </row>
    <row r="151">
      <c r="A151" s="5" t="inlineStr">
        <is>
          <t>Pilotes</t>
        </is>
      </c>
      <c r="B151" s="5" t="inlineStr">
        <is>
          <t>P4 Pie 'Aprov.' Q (SAP forces)</t>
        </is>
      </c>
      <c r="C151" s="21" t="n">
        <v>73.63500000000001</v>
      </c>
      <c r="D151" s="21" t="n">
        <v>73.5</v>
      </c>
      <c r="E151" s="22" t="n">
        <v>0.18342</v>
      </c>
      <c r="F151" s="12" t="inlineStr">
        <is>
          <t>PASS</t>
        </is>
      </c>
      <c r="G151" s="5" t="inlineStr">
        <is>
          <t>fuerzas SAP frente a resultados CYPE (≤ 5 %)</t>
        </is>
      </c>
      <c r="H151" s="5" t="inlineStr">
        <is>
          <t>P1757 table: Pie G, V(2)</t>
        </is>
      </c>
      <c r="I151" s="5" t="inlineStr"/>
      <c r="M151" t="n">
        <v>15.71</v>
      </c>
      <c r="N151" t="n">
        <v>15.71</v>
      </c>
    </row>
    <row r="152">
      <c r="A152" s="5" t="inlineStr">
        <is>
          <t>Pilotes</t>
        </is>
      </c>
      <c r="B152" s="5" t="inlineStr">
        <is>
          <t>P4 Arranque 'Aprov.' N,M (ray, SAP forces)</t>
        </is>
      </c>
      <c r="C152" s="21" t="n">
        <v>75.32899999999999</v>
      </c>
      <c r="D152" s="21" t="n">
        <v>76.40000000000001</v>
      </c>
      <c r="E152" s="22" t="n">
        <v>-1.402</v>
      </c>
      <c r="F152" s="12" t="inlineStr">
        <is>
          <t>PASS</t>
        </is>
      </c>
      <c r="G152" s="5" t="inlineStr">
        <is>
          <t>fuerzas SAP frente a resultados CYPE (≤ 5 %)</t>
        </is>
      </c>
      <c r="H152" s="5" t="inlineStr">
        <is>
          <t>P1757 table: Arranque G, V(2)</t>
        </is>
      </c>
      <c r="I152" s="5" t="inlineStr">
        <is>
          <t>listing ≈ 1.014 × ray η (systematic, see meta)</t>
        </is>
      </c>
      <c r="M152" t="n">
        <v>21.99</v>
      </c>
      <c r="N152" t="n">
        <v>21.99</v>
      </c>
    </row>
    <row r="153">
      <c r="A153" s="5" t="inlineStr">
        <is>
          <t>Pilotes</t>
        </is>
      </c>
      <c r="B153" s="5" t="inlineStr">
        <is>
          <t>P4 Arranque 'Aprov.' Q (SAP forces)</t>
        </is>
      </c>
      <c r="C153" s="21" t="n">
        <v>7.398</v>
      </c>
      <c r="D153" s="21" t="n">
        <v>7.4</v>
      </c>
      <c r="E153" s="22" t="n">
        <v>-0.02418</v>
      </c>
      <c r="F153" s="12" t="inlineStr">
        <is>
          <t>PASS</t>
        </is>
      </c>
      <c r="G153" s="5" t="inlineStr">
        <is>
          <t>fuerzas SAP frente a resultados CYPE (≤ 5 %)</t>
        </is>
      </c>
      <c r="H153" s="5" t="inlineStr">
        <is>
          <t>P1757 table: Arranque G, V(2)</t>
        </is>
      </c>
      <c r="I153" s="5" t="inlineStr"/>
      <c r="M153" t="n">
        <v>23.56</v>
      </c>
      <c r="N153" t="n">
        <v>23.56</v>
      </c>
    </row>
    <row r="154">
      <c r="A154" s="5" t="inlineStr">
        <is>
          <t>Pilotes</t>
        </is>
      </c>
      <c r="B154" s="5" t="inlineStr">
        <is>
          <t>P5 Cabeza 'Aprov.' N,M (ray, SAP forces)</t>
        </is>
      </c>
      <c r="C154" s="21" t="n">
        <v>85.727</v>
      </c>
      <c r="D154" s="21" t="n">
        <v>87</v>
      </c>
      <c r="E154" s="22" t="n">
        <v>-1.463</v>
      </c>
      <c r="F154" s="12" t="inlineStr">
        <is>
          <t>PASS</t>
        </is>
      </c>
      <c r="G154" s="5" t="inlineStr">
        <is>
          <t>fuerzas SAP frente a resultados CYPE (≤ 5 %)</t>
        </is>
      </c>
      <c r="H154" s="5" t="inlineStr">
        <is>
          <t>P1762 table: Cabeza G, Q, V(3)</t>
        </is>
      </c>
      <c r="I154" s="5" t="inlineStr">
        <is>
          <t>listing ≈ 1.014 × ray η (systematic, see meta)</t>
        </is>
      </c>
      <c r="M154" t="n">
        <v>15.71</v>
      </c>
      <c r="N154" t="n">
        <v>15.71</v>
      </c>
    </row>
    <row r="155">
      <c r="A155" s="5" t="inlineStr">
        <is>
          <t>Pilotes</t>
        </is>
      </c>
      <c r="B155" s="5" t="inlineStr">
        <is>
          <t>P5 Cabeza 'Aprov.' Q (SAP forces)</t>
        </is>
      </c>
      <c r="C155" s="21" t="n">
        <v>52.539</v>
      </c>
      <c r="D155" s="21" t="n">
        <v>52.6</v>
      </c>
      <c r="E155" s="22" t="n">
        <v>-0.1163</v>
      </c>
      <c r="F155" s="12" t="inlineStr">
        <is>
          <t>PASS</t>
        </is>
      </c>
      <c r="G155" s="5" t="inlineStr">
        <is>
          <t>fuerzas SAP frente a resultados CYPE (≤ 5 %)</t>
        </is>
      </c>
      <c r="H155" s="5" t="inlineStr">
        <is>
          <t>P1762 table: Cabeza G, Q, V(3)</t>
        </is>
      </c>
      <c r="I155" s="5" t="inlineStr"/>
      <c r="M155" t="n">
        <v>21.99</v>
      </c>
      <c r="N155" t="n">
        <v>21.99</v>
      </c>
    </row>
    <row r="156">
      <c r="A156" s="5" t="inlineStr">
        <is>
          <t>Pilotes</t>
        </is>
      </c>
      <c r="B156" s="5" t="inlineStr">
        <is>
          <t>P5 Pie 'Aprov.' N,M (ray, SAP forces)</t>
        </is>
      </c>
      <c r="C156" s="21" t="n">
        <v>86.53400000000001</v>
      </c>
      <c r="D156" s="21" t="n">
        <v>88</v>
      </c>
      <c r="E156" s="22" t="n">
        <v>-1.666</v>
      </c>
      <c r="F156" s="12" t="inlineStr">
        <is>
          <t>PASS</t>
        </is>
      </c>
      <c r="G156" s="5" t="inlineStr">
        <is>
          <t>fuerzas SAP frente a resultados CYPE (≤ 5 %)</t>
        </is>
      </c>
      <c r="H156" s="5" t="inlineStr">
        <is>
          <t>P1762 table: Pie G, Q, V(3)</t>
        </is>
      </c>
      <c r="I156" s="5" t="inlineStr">
        <is>
          <t>listing ≈ 1.014 × ray η (systematic, see meta)</t>
        </is>
      </c>
      <c r="M156" t="n">
        <v>23.56</v>
      </c>
      <c r="N156" t="n">
        <v>23.56</v>
      </c>
    </row>
    <row r="157">
      <c r="A157" s="5" t="inlineStr">
        <is>
          <t>Pilotes</t>
        </is>
      </c>
      <c r="B157" s="5" t="inlineStr">
        <is>
          <t>P5 Pie 'Aprov.' Q (SAP forces)</t>
        </is>
      </c>
      <c r="C157" s="21" t="n">
        <v>51.673</v>
      </c>
      <c r="D157" s="21" t="n">
        <v>51.7</v>
      </c>
      <c r="E157" s="22" t="n">
        <v>-0.05171</v>
      </c>
      <c r="F157" s="12" t="inlineStr">
        <is>
          <t>PASS</t>
        </is>
      </c>
      <c r="G157" s="5" t="inlineStr">
        <is>
          <t>fuerzas SAP frente a resultados CYPE (≤ 5 %)</t>
        </is>
      </c>
      <c r="H157" s="5" t="inlineStr">
        <is>
          <t>P1762 table: Pie G, Q, V(3)</t>
        </is>
      </c>
      <c r="I157" s="5" t="inlineStr"/>
      <c r="M157" t="n">
        <v>15.71</v>
      </c>
      <c r="N157" t="n">
        <v>15.71</v>
      </c>
    </row>
    <row r="158">
      <c r="A158" s="5" t="inlineStr">
        <is>
          <t>Pilotes</t>
        </is>
      </c>
      <c r="B158" s="5" t="inlineStr">
        <is>
          <t>P5 Arranque 'Aprov.' N,M (ray, SAP forces)</t>
        </is>
      </c>
      <c r="C158" s="21" t="n">
        <v>85.443</v>
      </c>
      <c r="D158" s="21" t="n">
        <v>86.90000000000001</v>
      </c>
      <c r="E158" s="22" t="n">
        <v>-1.677</v>
      </c>
      <c r="F158" s="12" t="inlineStr">
        <is>
          <t>PASS</t>
        </is>
      </c>
      <c r="G158" s="5" t="inlineStr">
        <is>
          <t>fuerzas SAP frente a resultados CYPE (≤ 5 %)</t>
        </is>
      </c>
      <c r="H158" s="5" t="inlineStr">
        <is>
          <t>P1762 table: Arranque G, Q, V(3)</t>
        </is>
      </c>
      <c r="I158" s="5" t="inlineStr">
        <is>
          <t>listing ≈ 1.014 × ray η (systematic, see meta)</t>
        </is>
      </c>
      <c r="M158" t="n">
        <v>21.99</v>
      </c>
      <c r="N158" t="n">
        <v>21.99</v>
      </c>
    </row>
    <row r="159">
      <c r="A159" s="5" t="inlineStr">
        <is>
          <t>Pilotes</t>
        </is>
      </c>
      <c r="B159" s="5" t="inlineStr">
        <is>
          <t>P5 Arranque 'Aprov.' Q (SAP forces)</t>
        </is>
      </c>
      <c r="C159" s="21" t="n">
        <v>8.038</v>
      </c>
      <c r="D159" s="21" t="n">
        <v>8.1</v>
      </c>
      <c r="E159" s="22" t="n">
        <v>-0.75968</v>
      </c>
      <c r="F159" s="12" t="inlineStr">
        <is>
          <t>PASS</t>
        </is>
      </c>
      <c r="G159" s="5" t="inlineStr">
        <is>
          <t>fuerzas SAP frente a resultados CYPE (≤ 5 %)</t>
        </is>
      </c>
      <c r="H159" s="5" t="inlineStr">
        <is>
          <t>P1762 table: Arranque G, Q, V(3)</t>
        </is>
      </c>
      <c r="I159" s="5" t="inlineStr"/>
      <c r="M159" t="n">
        <v>23.56</v>
      </c>
      <c r="N159" t="n">
        <v>23.56</v>
      </c>
    </row>
    <row r="160">
      <c r="A160" s="5" t="inlineStr">
        <is>
          <t>Pilotes</t>
        </is>
      </c>
      <c r="B160" s="5" t="inlineStr">
        <is>
          <t>P6 Cabeza 'Aprov.' N,M (ray, SAP forces)</t>
        </is>
      </c>
      <c r="C160" s="21" t="n">
        <v>72.586</v>
      </c>
      <c r="D160" s="21" t="n">
        <v>73.90000000000001</v>
      </c>
      <c r="E160" s="22" t="n">
        <v>-1.778</v>
      </c>
      <c r="F160" s="12" t="inlineStr">
        <is>
          <t>PASS</t>
        </is>
      </c>
      <c r="G160" s="5" t="inlineStr">
        <is>
          <t>fuerzas SAP frente a resultados CYPE (≤ 5 %)</t>
        </is>
      </c>
      <c r="H160" s="5" t="inlineStr">
        <is>
          <t>P1767 table: Cabeza G, V(2)</t>
        </is>
      </c>
      <c r="I160" s="5" t="inlineStr">
        <is>
          <t>listing ≈ 1.014 × ray η (systematic, see meta)</t>
        </is>
      </c>
      <c r="M160" t="n">
        <v>15.71</v>
      </c>
      <c r="N160" t="n">
        <v>15.71</v>
      </c>
    </row>
    <row r="161">
      <c r="A161" s="5" t="inlineStr">
        <is>
          <t>Pilotes</t>
        </is>
      </c>
      <c r="B161" s="5" t="inlineStr">
        <is>
          <t>P6 Cabeza 'Aprov.' Q (SAP forces)</t>
        </is>
      </c>
      <c r="C161" s="21" t="n">
        <v>76.56699999999999</v>
      </c>
      <c r="D161" s="21" t="n">
        <v>76.90000000000001</v>
      </c>
      <c r="E161" s="22" t="n">
        <v>-0.43356</v>
      </c>
      <c r="F161" s="12" t="inlineStr">
        <is>
          <t>PASS</t>
        </is>
      </c>
      <c r="G161" s="5" t="inlineStr">
        <is>
          <t>fuerzas SAP frente a resultados CYPE (≤ 5 %)</t>
        </is>
      </c>
      <c r="H161" s="5" t="inlineStr">
        <is>
          <t>P1767 table: Cabeza G, V(2)</t>
        </is>
      </c>
      <c r="I161" s="5" t="inlineStr"/>
      <c r="M161" t="n">
        <v>18.85</v>
      </c>
      <c r="N161" t="n">
        <v>18.85</v>
      </c>
    </row>
    <row r="162">
      <c r="A162" s="5" t="inlineStr">
        <is>
          <t>Pilotes</t>
        </is>
      </c>
      <c r="B162" s="5" t="inlineStr">
        <is>
          <t>P6 Pie 'Aprov.' N,M (ray, SAP forces)</t>
        </is>
      </c>
      <c r="C162" s="21" t="n">
        <v>75.958</v>
      </c>
      <c r="D162" s="21" t="n">
        <v>77.2</v>
      </c>
      <c r="E162" s="22" t="n">
        <v>-1.609</v>
      </c>
      <c r="F162" s="12" t="inlineStr">
        <is>
          <t>PASS</t>
        </is>
      </c>
      <c r="G162" s="5" t="inlineStr">
        <is>
          <t>fuerzas SAP frente a resultados CYPE (≤ 5 %)</t>
        </is>
      </c>
      <c r="H162" s="5" t="inlineStr">
        <is>
          <t>P1767 table: Pie G, V(2)</t>
        </is>
      </c>
      <c r="I162" s="5" t="inlineStr">
        <is>
          <t>listing ≈ 1.014 × ray η (systematic, see meta)</t>
        </is>
      </c>
      <c r="M162" t="n">
        <v>23.56</v>
      </c>
      <c r="N162" t="n">
        <v>23.56</v>
      </c>
    </row>
    <row r="163">
      <c r="A163" s="5" t="inlineStr">
        <is>
          <t>Pilotes</t>
        </is>
      </c>
      <c r="B163" s="5" t="inlineStr">
        <is>
          <t>P6 Pie 'Aprov.' Q (SAP forces)</t>
        </is>
      </c>
      <c r="C163" s="21" t="n">
        <v>74.709</v>
      </c>
      <c r="D163" s="21" t="n">
        <v>74.8</v>
      </c>
      <c r="E163" s="22" t="n">
        <v>-0.12123</v>
      </c>
      <c r="F163" s="12" t="inlineStr">
        <is>
          <t>PASS</t>
        </is>
      </c>
      <c r="G163" s="5" t="inlineStr">
        <is>
          <t>fuerzas SAP frente a resultados CYPE (≤ 5 %)</t>
        </is>
      </c>
      <c r="H163" s="5" t="inlineStr">
        <is>
          <t>P1767 table: Pie G, V(2)</t>
        </is>
      </c>
      <c r="I163" s="5" t="inlineStr"/>
      <c r="M163" t="n">
        <v>4.02</v>
      </c>
      <c r="N163" t="n">
        <v>4.02</v>
      </c>
    </row>
    <row r="164">
      <c r="A164" s="5" t="inlineStr">
        <is>
          <t>Pilotes</t>
        </is>
      </c>
      <c r="B164" s="5" t="inlineStr">
        <is>
          <t>P6 Arranque 'Aprov.' N,M (ray, SAP forces)</t>
        </is>
      </c>
      <c r="C164" s="21" t="n">
        <v>75.209</v>
      </c>
      <c r="D164" s="21" t="n">
        <v>76.5</v>
      </c>
      <c r="E164" s="22" t="n">
        <v>-1.687</v>
      </c>
      <c r="F164" s="12" t="inlineStr">
        <is>
          <t>PASS</t>
        </is>
      </c>
      <c r="G164" s="5" t="inlineStr">
        <is>
          <t>fuerzas SAP frente a resultados CYPE (≤ 5 %)</t>
        </is>
      </c>
      <c r="H164" s="5" t="inlineStr">
        <is>
          <t>P1767 table: Arranque G, V(2)</t>
        </is>
      </c>
      <c r="I164" s="5" t="inlineStr">
        <is>
          <t>listing ≈ 1.014 × ray η (systematic, see meta)</t>
        </is>
      </c>
      <c r="M164" t="n">
        <v>4.02</v>
      </c>
      <c r="N164" t="n">
        <v>4.02</v>
      </c>
    </row>
    <row r="165">
      <c r="A165" s="5" t="inlineStr">
        <is>
          <t>Pilotes</t>
        </is>
      </c>
      <c r="B165" s="5" t="inlineStr">
        <is>
          <t>P6 Arranque 'Aprov.' Q (SAP forces)</t>
        </is>
      </c>
      <c r="C165" s="21" t="n">
        <v>7.362</v>
      </c>
      <c r="D165" s="21" t="n">
        <v>7.4</v>
      </c>
      <c r="E165" s="22" t="n">
        <v>-0.51413</v>
      </c>
      <c r="F165" s="12" t="inlineStr">
        <is>
          <t>PASS</t>
        </is>
      </c>
      <c r="G165" s="5" t="inlineStr">
        <is>
          <t>fuerzas SAP frente a resultados CYPE (≤ 5 %)</t>
        </is>
      </c>
      <c r="H165" s="5" t="inlineStr">
        <is>
          <t>P1767 table: Arranque G, V(2)</t>
        </is>
      </c>
      <c r="I165" s="5" t="inlineStr"/>
      <c r="M165" t="n">
        <v>6.7</v>
      </c>
      <c r="N165" t="n">
        <v>6.7</v>
      </c>
    </row>
    <row r="166">
      <c r="A166" s="5" t="inlineStr">
        <is>
          <t>Pilotes</t>
        </is>
      </c>
      <c r="B166" s="5" t="inlineStr">
        <is>
          <t>P7 Cabeza 'Aprov.' N,M (ray, SAP forces)</t>
        </is>
      </c>
      <c r="C166" s="21" t="n">
        <v>86.55500000000001</v>
      </c>
      <c r="D166" s="21" t="n">
        <v>88.2</v>
      </c>
      <c r="E166" s="22" t="n">
        <v>-1.865</v>
      </c>
      <c r="F166" s="12" t="inlineStr">
        <is>
          <t>PASS</t>
        </is>
      </c>
      <c r="G166" s="5" t="inlineStr">
        <is>
          <t>fuerzas SAP frente a resultados CYPE (≤ 5 %)</t>
        </is>
      </c>
      <c r="H166" s="5" t="inlineStr">
        <is>
          <t>P1772 table: Cabeza G, Q, V(3)</t>
        </is>
      </c>
      <c r="I166" s="5" t="inlineStr">
        <is>
          <t>listing ≈ 1.014 × ray η (systematic, see meta)</t>
        </is>
      </c>
      <c r="M166" t="n">
        <v>4.02</v>
      </c>
      <c r="N166" t="n">
        <v>4.02</v>
      </c>
    </row>
    <row r="167">
      <c r="A167" s="5" t="inlineStr">
        <is>
          <t>Pilotes</t>
        </is>
      </c>
      <c r="B167" s="5" t="inlineStr">
        <is>
          <t>P7 Cabeza 'Aprov.' Q (SAP forces)</t>
        </is>
      </c>
      <c r="C167" s="21" t="n">
        <v>53.466</v>
      </c>
      <c r="D167" s="21" t="n">
        <v>53.6</v>
      </c>
      <c r="E167" s="22" t="n">
        <v>-0.25071</v>
      </c>
      <c r="F167" s="12" t="inlineStr">
        <is>
          <t>PASS</t>
        </is>
      </c>
      <c r="G167" s="5" t="inlineStr">
        <is>
          <t>fuerzas SAP frente a resultados CYPE (≤ 5 %)</t>
        </is>
      </c>
      <c r="H167" s="5" t="inlineStr">
        <is>
          <t>P1772 table: Cabeza G, Q, V(3)</t>
        </is>
      </c>
      <c r="I167" s="5" t="inlineStr"/>
      <c r="M167" t="n">
        <v>4.02</v>
      </c>
      <c r="N167" t="n">
        <v>4.02</v>
      </c>
    </row>
    <row r="168">
      <c r="A168" s="5" t="inlineStr">
        <is>
          <t>Pilotes</t>
        </is>
      </c>
      <c r="B168" s="5" t="inlineStr">
        <is>
          <t>P7 Pie 'Aprov.' N,M (ray, SAP forces)</t>
        </is>
      </c>
      <c r="C168" s="21" t="n">
        <v>86.453</v>
      </c>
      <c r="D168" s="21" t="n">
        <v>88</v>
      </c>
      <c r="E168" s="22" t="n">
        <v>-1.758</v>
      </c>
      <c r="F168" s="12" t="inlineStr">
        <is>
          <t>PASS</t>
        </is>
      </c>
      <c r="G168" s="5" t="inlineStr">
        <is>
          <t>fuerzas SAP frente a resultados CYPE (≤ 5 %)</t>
        </is>
      </c>
      <c r="H168" s="5" t="inlineStr">
        <is>
          <t>P1772 table: Pie G, Q, V(3)</t>
        </is>
      </c>
      <c r="I168" s="5" t="inlineStr">
        <is>
          <t>listing ≈ 1.014 × ray η (systematic, see meta)</t>
        </is>
      </c>
      <c r="M168" t="n">
        <v>6.7</v>
      </c>
      <c r="N168" t="n">
        <v>6.7</v>
      </c>
    </row>
    <row r="169">
      <c r="A169" s="5" t="inlineStr">
        <is>
          <t>Pilotes</t>
        </is>
      </c>
      <c r="B169" s="5" t="inlineStr">
        <is>
          <t>P7 Pie 'Aprov.' Q (SAP forces)</t>
        </is>
      </c>
      <c r="C169" s="21" t="n">
        <v>52.575</v>
      </c>
      <c r="D169" s="21" t="n">
        <v>52.7</v>
      </c>
      <c r="E169" s="22" t="n">
        <v>-0.23693</v>
      </c>
      <c r="F169" s="12" t="inlineStr">
        <is>
          <t>PASS</t>
        </is>
      </c>
      <c r="G169" s="5" t="inlineStr">
        <is>
          <t>fuerzas SAP frente a resultados CYPE (≤ 5 %)</t>
        </is>
      </c>
      <c r="H169" s="5" t="inlineStr">
        <is>
          <t>P1772 table: Pie G, Q, V(3)</t>
        </is>
      </c>
      <c r="I169" s="5" t="inlineStr"/>
      <c r="M169" t="n">
        <v>0.583</v>
      </c>
      <c r="N169" t="n">
        <v>0.583</v>
      </c>
    </row>
    <row r="170">
      <c r="A170" s="5" t="inlineStr">
        <is>
          <t>Pilotes</t>
        </is>
      </c>
      <c r="B170" s="5" t="inlineStr">
        <is>
          <t>P7 Arranque 'Aprov.' N,M (ray, SAP forces)</t>
        </is>
      </c>
      <c r="C170" s="21" t="n">
        <v>85.36499999999999</v>
      </c>
      <c r="D170" s="21" t="n">
        <v>86.90000000000001</v>
      </c>
      <c r="E170" s="22" t="n">
        <v>-1.766</v>
      </c>
      <c r="F170" s="12" t="inlineStr">
        <is>
          <t>PASS</t>
        </is>
      </c>
      <c r="G170" s="5" t="inlineStr">
        <is>
          <t>fuerzas SAP frente a resultados CYPE (≤ 5 %)</t>
        </is>
      </c>
      <c r="H170" s="5" t="inlineStr">
        <is>
          <t>P1772 table: Arranque G, Q, V(3)</t>
        </is>
      </c>
      <c r="I170" s="5" t="inlineStr">
        <is>
          <t>listing ≈ 1.014 × ray η (systematic, see meta)</t>
        </is>
      </c>
      <c r="M170" t="n">
        <v>0.63</v>
      </c>
      <c r="N170" t="n">
        <v>0.634</v>
      </c>
    </row>
    <row r="171">
      <c r="A171" s="5" t="inlineStr">
        <is>
          <t>Pilotes</t>
        </is>
      </c>
      <c r="B171" s="5" t="inlineStr">
        <is>
          <t>P7 Arranque 'Aprov.' Q (SAP forces)</t>
        </is>
      </c>
      <c r="C171" s="21" t="n">
        <v>8.097</v>
      </c>
      <c r="D171" s="21" t="n">
        <v>8.1</v>
      </c>
      <c r="E171" s="22" t="n">
        <v>-0.03205</v>
      </c>
      <c r="F171" s="12" t="inlineStr">
        <is>
          <t>PASS</t>
        </is>
      </c>
      <c r="G171" s="5" t="inlineStr">
        <is>
          <t>fuerzas SAP frente a resultados CYPE (≤ 5 %)</t>
        </is>
      </c>
      <c r="H171" s="5" t="inlineStr">
        <is>
          <t>P1772 table: Arranque G, Q, V(3)</t>
        </is>
      </c>
      <c r="I171" s="5" t="inlineStr"/>
      <c r="M171" t="n">
        <v>15.98</v>
      </c>
      <c r="N171" t="n">
        <v>15.9767</v>
      </c>
    </row>
    <row r="172">
      <c r="A172" s="5" t="inlineStr">
        <is>
          <t>Pilotes</t>
        </is>
      </c>
      <c r="B172" s="5" t="inlineStr">
        <is>
          <t>P8 Cabeza 'Aprov.' N,M (ray, SAP forces)</t>
        </is>
      </c>
      <c r="C172" s="21" t="n">
        <v>69.85899999999999</v>
      </c>
      <c r="D172" s="21" t="n">
        <v>70.90000000000001</v>
      </c>
      <c r="E172" s="22" t="n">
        <v>-1.469</v>
      </c>
      <c r="F172" s="12" t="inlineStr">
        <is>
          <t>PASS</t>
        </is>
      </c>
      <c r="G172" s="5" t="inlineStr">
        <is>
          <t>fuerzas SAP frente a resultados CYPE (≤ 5 %)</t>
        </is>
      </c>
      <c r="H172" s="5" t="inlineStr">
        <is>
          <t>P1777 table: Cabeza G, V(2)</t>
        </is>
      </c>
      <c r="I172" s="5" t="inlineStr">
        <is>
          <t>listing ≈ 1.014 × ray η (systematic, see meta)</t>
        </is>
      </c>
      <c r="M172" t="n">
        <v>13.72</v>
      </c>
      <c r="N172" t="n">
        <v>13.7248</v>
      </c>
    </row>
    <row r="173">
      <c r="A173" s="5" t="inlineStr">
        <is>
          <t>Pilotes</t>
        </is>
      </c>
      <c r="B173" s="5" t="inlineStr">
        <is>
          <t>P8 Cabeza 'Aprov.' Q (SAP forces)</t>
        </is>
      </c>
      <c r="C173" s="21" t="n">
        <v>73.029</v>
      </c>
      <c r="D173" s="21" t="n">
        <v>73.09999999999999</v>
      </c>
      <c r="E173" s="22" t="n">
        <v>-0.09647</v>
      </c>
      <c r="F173" s="12" t="inlineStr">
        <is>
          <t>PASS</t>
        </is>
      </c>
      <c r="G173" s="5" t="inlineStr">
        <is>
          <t>fuerzas SAP frente a resultados CYPE (≤ 5 %)</t>
        </is>
      </c>
      <c r="H173" s="5" t="inlineStr">
        <is>
          <t>P1777 table: Cabeza G, V(2)</t>
        </is>
      </c>
      <c r="I173" s="5" t="inlineStr"/>
      <c r="M173" t="n">
        <v>15.75</v>
      </c>
      <c r="N173" t="n">
        <v>15.7546</v>
      </c>
    </row>
    <row r="174">
      <c r="A174" s="5" t="inlineStr">
        <is>
          <t>Pilotes</t>
        </is>
      </c>
      <c r="B174" s="5" t="inlineStr">
        <is>
          <t>P8 Pie 'Aprov.' N,M (ray, SAP forces)</t>
        </is>
      </c>
      <c r="C174" s="21" t="n">
        <v>73.624</v>
      </c>
      <c r="D174" s="21" t="n">
        <v>74.59999999999999</v>
      </c>
      <c r="E174" s="22" t="n">
        <v>-1.309</v>
      </c>
      <c r="F174" s="12" t="inlineStr">
        <is>
          <t>PASS</t>
        </is>
      </c>
      <c r="G174" s="5" t="inlineStr">
        <is>
          <t>fuerzas SAP frente a resultados CYPE (≤ 5 %)</t>
        </is>
      </c>
      <c r="H174" s="5" t="inlineStr">
        <is>
          <t>P1777 table: Pie G, V(2)</t>
        </is>
      </c>
      <c r="I174" s="5" t="inlineStr">
        <is>
          <t>listing ≈ 1.014 × ray η (systematic, see meta)</t>
        </is>
      </c>
      <c r="M174" t="n">
        <v>13.22</v>
      </c>
      <c r="N174" t="n">
        <v>13.224</v>
      </c>
    </row>
    <row r="175">
      <c r="A175" s="5" t="inlineStr">
        <is>
          <t>Pilotes</t>
        </is>
      </c>
      <c r="B175" s="5" t="inlineStr">
        <is>
          <t>P8 Pie 'Aprov.' Q (SAP forces)</t>
        </is>
      </c>
      <c r="C175" s="21" t="n">
        <v>71.29000000000001</v>
      </c>
      <c r="D175" s="21" t="n">
        <v>71.2</v>
      </c>
      <c r="E175" s="22" t="n">
        <v>0.12632</v>
      </c>
      <c r="F175" s="12" t="inlineStr">
        <is>
          <t>PASS</t>
        </is>
      </c>
      <c r="G175" s="5" t="inlineStr">
        <is>
          <t>fuerzas SAP frente a resultados CYPE (≤ 5 %)</t>
        </is>
      </c>
      <c r="H175" s="5" t="inlineStr">
        <is>
          <t>P1777 table: Pie G, V(2)</t>
        </is>
      </c>
      <c r="I175" s="5" t="inlineStr"/>
      <c r="M175" t="n">
        <v>15.28</v>
      </c>
      <c r="N175" t="n">
        <v>15.2846</v>
      </c>
    </row>
    <row r="176">
      <c r="A176" s="5" t="inlineStr">
        <is>
          <t>Pilotes</t>
        </is>
      </c>
      <c r="B176" s="5" t="inlineStr">
        <is>
          <t>P8 Arranque 'Aprov.' N,M (ray, SAP forces)</t>
        </is>
      </c>
      <c r="C176" s="21" t="n">
        <v>73.04900000000001</v>
      </c>
      <c r="D176" s="21" t="n">
        <v>74</v>
      </c>
      <c r="E176" s="22" t="n">
        <v>-1.286</v>
      </c>
      <c r="F176" s="12" t="inlineStr">
        <is>
          <t>PASS</t>
        </is>
      </c>
      <c r="G176" s="5" t="inlineStr">
        <is>
          <t>fuerzas SAP frente a resultados CYPE (≤ 5 %)</t>
        </is>
      </c>
      <c r="H176" s="5" t="inlineStr">
        <is>
          <t>P1777 table: Arranque G, V(2)</t>
        </is>
      </c>
      <c r="I176" s="5" t="inlineStr">
        <is>
          <t>listing ≈ 1.014 × ray η (systematic, see meta)</t>
        </is>
      </c>
      <c r="M176" t="n">
        <v>12.79</v>
      </c>
      <c r="N176" t="n">
        <v>12.7921</v>
      </c>
    </row>
    <row r="177">
      <c r="A177" s="5" t="inlineStr">
        <is>
          <t>Pilotes</t>
        </is>
      </c>
      <c r="B177" s="5" t="inlineStr">
        <is>
          <t>P8 Arranque 'Aprov.' Q (SAP forces)</t>
        </is>
      </c>
      <c r="C177" s="21" t="n">
        <v>7.154</v>
      </c>
      <c r="D177" s="21" t="n">
        <v>7.1</v>
      </c>
      <c r="E177" s="22" t="n">
        <v>0.75609</v>
      </c>
      <c r="F177" s="12" t="inlineStr">
        <is>
          <t>PASS</t>
        </is>
      </c>
      <c r="G177" s="5" t="inlineStr">
        <is>
          <t>fuerzas SAP frente a resultados CYPE (≤ 5 %)</t>
        </is>
      </c>
      <c r="H177" s="5" t="inlineStr">
        <is>
          <t>P1777 table: Arranque G, V(2)</t>
        </is>
      </c>
      <c r="I177" s="5" t="inlineStr"/>
      <c r="M177" t="n">
        <v>14.56</v>
      </c>
      <c r="N177" t="n">
        <v>14.5583</v>
      </c>
    </row>
    <row r="178">
      <c r="A178" s="5" t="inlineStr">
        <is>
          <t>Pilotes</t>
        </is>
      </c>
      <c r="B178" s="5" t="inlineStr">
        <is>
          <t>P13 Cabeza 'Aprov.' N,M (ray, SAP forces)</t>
        </is>
      </c>
      <c r="C178" s="21" t="n">
        <v>83.497</v>
      </c>
      <c r="D178" s="21" t="n">
        <v>84.59999999999999</v>
      </c>
      <c r="E178" s="22" t="n">
        <v>-1.303</v>
      </c>
      <c r="F178" s="12" t="inlineStr">
        <is>
          <t>PASS</t>
        </is>
      </c>
      <c r="G178" s="5" t="inlineStr">
        <is>
          <t>fuerzas SAP frente a resultados CYPE (≤ 5 %)</t>
        </is>
      </c>
      <c r="H178" s="5" t="inlineStr">
        <is>
          <t>P1782 table: Cabeza G, Q, V(3)</t>
        </is>
      </c>
      <c r="I178" s="5" t="inlineStr">
        <is>
          <t>listing ≈ 1.014 × ray η (systematic, see meta)</t>
        </is>
      </c>
    </row>
    <row r="179">
      <c r="A179" s="5" t="inlineStr">
        <is>
          <t>Pilotes</t>
        </is>
      </c>
      <c r="B179" s="5" t="inlineStr">
        <is>
          <t>P13 Cabeza 'Aprov.' Q (SAP forces)</t>
        </is>
      </c>
      <c r="C179" s="21" t="n">
        <v>50.912</v>
      </c>
      <c r="D179" s="21" t="n">
        <v>51</v>
      </c>
      <c r="E179" s="22" t="n">
        <v>-0.17225</v>
      </c>
      <c r="F179" s="12" t="inlineStr">
        <is>
          <t>PASS</t>
        </is>
      </c>
      <c r="G179" s="5" t="inlineStr">
        <is>
          <t>fuerzas SAP frente a resultados CYPE (≤ 5 %)</t>
        </is>
      </c>
      <c r="H179" s="5" t="inlineStr">
        <is>
          <t>P1782 table: Cabeza G, Q, V(3)</t>
        </is>
      </c>
      <c r="I179" s="5" t="inlineStr"/>
    </row>
    <row r="180">
      <c r="A180" s="5" t="inlineStr">
        <is>
          <t>Pilotes</t>
        </is>
      </c>
      <c r="B180" s="5" t="inlineStr">
        <is>
          <t>P13 Pie 'Aprov.' N,M (ray, SAP forces)</t>
        </is>
      </c>
      <c r="C180" s="21" t="n">
        <v>84.217</v>
      </c>
      <c r="D180" s="21" t="n">
        <v>85.5</v>
      </c>
      <c r="E180" s="22" t="n">
        <v>-1.5</v>
      </c>
      <c r="F180" s="12" t="inlineStr">
        <is>
          <t>PASS</t>
        </is>
      </c>
      <c r="G180" s="5" t="inlineStr">
        <is>
          <t>fuerzas SAP frente a resultados CYPE (≤ 5 %)</t>
        </is>
      </c>
      <c r="H180" s="5" t="inlineStr">
        <is>
          <t>P1782 table: Pie G, Q, V(3)</t>
        </is>
      </c>
      <c r="I180" s="5" t="inlineStr">
        <is>
          <t>listing ≈ 1.014 × ray η (systematic, see meta)</t>
        </is>
      </c>
    </row>
    <row r="181">
      <c r="A181" s="5" t="inlineStr">
        <is>
          <t>Pilotes</t>
        </is>
      </c>
      <c r="B181" s="5" t="inlineStr">
        <is>
          <t>P13 Pie 'Aprov.' Q (SAP forces)</t>
        </is>
      </c>
      <c r="C181" s="21" t="n">
        <v>50.07</v>
      </c>
      <c r="D181" s="21" t="n">
        <v>50.1</v>
      </c>
      <c r="E181" s="22" t="n">
        <v>-0.05974</v>
      </c>
      <c r="F181" s="12" t="inlineStr">
        <is>
          <t>PASS</t>
        </is>
      </c>
      <c r="G181" s="5" t="inlineStr">
        <is>
          <t>fuerzas SAP frente a resultados CYPE (≤ 5 %)</t>
        </is>
      </c>
      <c r="H181" s="5" t="inlineStr">
        <is>
          <t>P1782 table: Pie G, Q, V(3)</t>
        </is>
      </c>
      <c r="I181" s="5" t="inlineStr"/>
    </row>
    <row r="182">
      <c r="A182" s="5" t="inlineStr">
        <is>
          <t>Pilotes</t>
        </is>
      </c>
      <c r="B182" s="5" t="inlineStr">
        <is>
          <t>P13 Arranque 'Aprov.' N,M (ray, SAP forces)</t>
        </is>
      </c>
      <c r="C182" s="21" t="n">
        <v>83.15300000000001</v>
      </c>
      <c r="D182" s="21" t="n">
        <v>84.40000000000001</v>
      </c>
      <c r="E182" s="22" t="n">
        <v>-1.477</v>
      </c>
      <c r="F182" s="12" t="inlineStr">
        <is>
          <t>PASS</t>
        </is>
      </c>
      <c r="G182" s="5" t="inlineStr">
        <is>
          <t>fuerzas SAP frente a resultados CYPE (≤ 5 %)</t>
        </is>
      </c>
      <c r="H182" s="5" t="inlineStr">
        <is>
          <t>P1782 table: Arranque G, Q, V(3)</t>
        </is>
      </c>
      <c r="I182" s="5" t="inlineStr">
        <is>
          <t>listing ≈ 1.014 × ray η (systematic, see meta)</t>
        </is>
      </c>
    </row>
    <row r="183">
      <c r="A183" s="5" t="inlineStr">
        <is>
          <t>Pilotes</t>
        </is>
      </c>
      <c r="B183" s="5" t="inlineStr">
        <is>
          <t>P13 Arranque 'Aprov.' Q (SAP forces)</t>
        </is>
      </c>
      <c r="C183" s="21" t="n">
        <v>7.778</v>
      </c>
      <c r="D183" s="21" t="n">
        <v>7.8</v>
      </c>
      <c r="E183" s="22" t="n">
        <v>-0.2871</v>
      </c>
      <c r="F183" s="12" t="inlineStr">
        <is>
          <t>PASS</t>
        </is>
      </c>
      <c r="G183" s="5" t="inlineStr">
        <is>
          <t>fuerzas SAP frente a resultados CYPE (≤ 5 %)</t>
        </is>
      </c>
      <c r="H183" s="5" t="inlineStr">
        <is>
          <t>P1782 table: Arranque G, Q, V(3)</t>
        </is>
      </c>
      <c r="I183" s="5" t="inlineStr"/>
    </row>
    <row r="184">
      <c r="A184" s="5" t="inlineStr">
        <is>
          <t>Pilotes</t>
        </is>
      </c>
      <c r="B184" s="5" t="inlineStr">
        <is>
          <t>P14 Cabeza 'Aprov.' N,M (ray, SAP forces)</t>
        </is>
      </c>
      <c r="C184" s="21" t="n">
        <v>69.88800000000001</v>
      </c>
      <c r="D184" s="21" t="n">
        <v>71.2</v>
      </c>
      <c r="E184" s="22" t="n">
        <v>-1.843</v>
      </c>
      <c r="F184" s="12" t="inlineStr">
        <is>
          <t>PASS</t>
        </is>
      </c>
      <c r="G184" s="5" t="inlineStr">
        <is>
          <t>fuerzas SAP frente a resultados CYPE (≤ 5 %)</t>
        </is>
      </c>
      <c r="H184" s="5" t="inlineStr">
        <is>
          <t>P1787 table: Cabeza G, V(2)</t>
        </is>
      </c>
      <c r="I184" s="5" t="inlineStr">
        <is>
          <t>listing ≈ 1.014 × ray η (systematic, see meta)</t>
        </is>
      </c>
    </row>
    <row r="185">
      <c r="A185" s="5" t="inlineStr">
        <is>
          <t>Pilotes</t>
        </is>
      </c>
      <c r="B185" s="5" t="inlineStr">
        <is>
          <t>P14 Cabeza 'Aprov.' Q (SAP forces)</t>
        </is>
      </c>
      <c r="C185" s="21" t="n">
        <v>73.408</v>
      </c>
      <c r="D185" s="21" t="n">
        <v>73.59999999999999</v>
      </c>
      <c r="E185" s="22" t="n">
        <v>-0.26072</v>
      </c>
      <c r="F185" s="12" t="inlineStr">
        <is>
          <t>PASS</t>
        </is>
      </c>
      <c r="G185" s="5" t="inlineStr">
        <is>
          <t>fuerzas SAP frente a resultados CYPE (≤ 5 %)</t>
        </is>
      </c>
      <c r="H185" s="5" t="inlineStr">
        <is>
          <t>P1787 table: Cabeza G, V(2)</t>
        </is>
      </c>
      <c r="I185" s="5" t="inlineStr"/>
    </row>
    <row r="186">
      <c r="A186" s="5" t="inlineStr">
        <is>
          <t>Pilotes</t>
        </is>
      </c>
      <c r="B186" s="5" t="inlineStr">
        <is>
          <t>P14 Pie 'Aprov.' N,M (ray, SAP forces)</t>
        </is>
      </c>
      <c r="C186" s="21" t="n">
        <v>73.18300000000001</v>
      </c>
      <c r="D186" s="21" t="n">
        <v>74.3</v>
      </c>
      <c r="E186" s="22" t="n">
        <v>-1.503</v>
      </c>
      <c r="F186" s="12" t="inlineStr">
        <is>
          <t>PASS</t>
        </is>
      </c>
      <c r="G186" s="5" t="inlineStr">
        <is>
          <t>fuerzas SAP frente a resultados CYPE (≤ 5 %)</t>
        </is>
      </c>
      <c r="H186" s="5" t="inlineStr">
        <is>
          <t>P1787 table: Pie G, V(2)</t>
        </is>
      </c>
      <c r="I186" s="5" t="inlineStr">
        <is>
          <t>listing ≈ 1.014 × ray η (systematic, see meta)</t>
        </is>
      </c>
    </row>
    <row r="187">
      <c r="A187" s="5" t="inlineStr">
        <is>
          <t>Pilotes</t>
        </is>
      </c>
      <c r="B187" s="5" t="inlineStr">
        <is>
          <t>P14 Pie 'Aprov.' Q (SAP forces)</t>
        </is>
      </c>
      <c r="C187" s="21" t="n">
        <v>71.63800000000001</v>
      </c>
      <c r="D187" s="21" t="n">
        <v>71.7</v>
      </c>
      <c r="E187" s="22" t="n">
        <v>-0.0868</v>
      </c>
      <c r="F187" s="12" t="inlineStr">
        <is>
          <t>PASS</t>
        </is>
      </c>
      <c r="G187" s="5" t="inlineStr">
        <is>
          <t>fuerzas SAP frente a resultados CYPE (≤ 5 %)</t>
        </is>
      </c>
      <c r="H187" s="5" t="inlineStr">
        <is>
          <t>P1787 table: Pie G, V(2)</t>
        </is>
      </c>
      <c r="I187" s="5" t="inlineStr"/>
    </row>
    <row r="188">
      <c r="A188" s="5" t="inlineStr">
        <is>
          <t>Pilotes</t>
        </is>
      </c>
      <c r="B188" s="5" t="inlineStr">
        <is>
          <t>P14 Arranque 'Aprov.' N,M (ray, SAP forces)</t>
        </is>
      </c>
      <c r="C188" s="21" t="n">
        <v>72.515</v>
      </c>
      <c r="D188" s="21" t="n">
        <v>73.7</v>
      </c>
      <c r="E188" s="22" t="n">
        <v>-1.608</v>
      </c>
      <c r="F188" s="12" t="inlineStr">
        <is>
          <t>PASS</t>
        </is>
      </c>
      <c r="G188" s="5" t="inlineStr">
        <is>
          <t>fuerzas SAP frente a resultados CYPE (≤ 5 %)</t>
        </is>
      </c>
      <c r="H188" s="5" t="inlineStr">
        <is>
          <t>P1787 table: Arranque G, V(2)</t>
        </is>
      </c>
      <c r="I188" s="5" t="inlineStr">
        <is>
          <t>listing ≈ 1.014 × ray η (systematic, see meta)</t>
        </is>
      </c>
    </row>
    <row r="189">
      <c r="A189" s="5" t="inlineStr">
        <is>
          <t>Pilotes</t>
        </is>
      </c>
      <c r="B189" s="5" t="inlineStr">
        <is>
          <t>P14 Arranque 'Aprov.' Q (SAP forces)</t>
        </is>
      </c>
      <c r="C189" s="21" t="n">
        <v>7.1</v>
      </c>
      <c r="D189" s="21" t="n">
        <v>7.1</v>
      </c>
      <c r="E189" s="22" t="n">
        <v>0.00581</v>
      </c>
      <c r="F189" s="12" t="inlineStr">
        <is>
          <t>PASS</t>
        </is>
      </c>
      <c r="G189" s="5" t="inlineStr">
        <is>
          <t>fuerzas SAP frente a resultados CYPE (≤ 5 %)</t>
        </is>
      </c>
      <c r="H189" s="5" t="inlineStr">
        <is>
          <t>P1787 table: Arranque G, V(2)</t>
        </is>
      </c>
      <c r="I189" s="5" t="inlineStr"/>
    </row>
    <row r="190">
      <c r="A190" s="5" t="inlineStr">
        <is>
          <t>Pilotes</t>
        </is>
      </c>
      <c r="B190" s="5" t="inlineStr">
        <is>
          <t>P15 Cabeza 'Aprov.' N,M (ray, SAP forces)</t>
        </is>
      </c>
      <c r="C190" s="21" t="n">
        <v>86.848</v>
      </c>
      <c r="D190" s="21" t="n">
        <v>87.40000000000001</v>
      </c>
      <c r="E190" s="22" t="n">
        <v>-0.63209</v>
      </c>
      <c r="F190" s="12" t="inlineStr">
        <is>
          <t>PASS</t>
        </is>
      </c>
      <c r="G190" s="5" t="inlineStr">
        <is>
          <t>fuerzas SAP frente a resultados CYPE (≤ 5 %)</t>
        </is>
      </c>
      <c r="H190" s="5" t="inlineStr">
        <is>
          <t>P1792 table: Cabeza G, Q, V(3)</t>
        </is>
      </c>
      <c r="I190" s="5" t="inlineStr">
        <is>
          <t>listing ≈ 1.014 × ray η (systematic, see meta)</t>
        </is>
      </c>
    </row>
    <row r="191">
      <c r="A191" s="5" t="inlineStr">
        <is>
          <t>Pilotes</t>
        </is>
      </c>
      <c r="B191" s="5" t="inlineStr">
        <is>
          <t>P15 Cabeza 'Aprov.' Q (SAP forces)</t>
        </is>
      </c>
      <c r="C191" s="21" t="n">
        <v>51.663</v>
      </c>
      <c r="D191" s="21" t="n">
        <v>51.9</v>
      </c>
      <c r="E191" s="22" t="n">
        <v>-0.45584</v>
      </c>
      <c r="F191" s="12" t="inlineStr">
        <is>
          <t>PASS</t>
        </is>
      </c>
      <c r="G191" s="5" t="inlineStr">
        <is>
          <t>fuerzas SAP frente a resultados CYPE (≤ 5 %)</t>
        </is>
      </c>
      <c r="H191" s="5" t="inlineStr">
        <is>
          <t>P1792 table: Cabeza G, Q, V(3)</t>
        </is>
      </c>
      <c r="I191" s="5" t="inlineStr"/>
    </row>
    <row r="192">
      <c r="A192" s="5" t="inlineStr">
        <is>
          <t>Pilotes</t>
        </is>
      </c>
      <c r="B192" s="5" t="inlineStr">
        <is>
          <t>P15 Pie 'Aprov.' N,M (ray, SAP forces)</t>
        </is>
      </c>
      <c r="C192" s="21" t="n">
        <v>85.544</v>
      </c>
      <c r="D192" s="21" t="n">
        <v>86.40000000000001</v>
      </c>
      <c r="E192" s="22" t="n">
        <v>-0.99051</v>
      </c>
      <c r="F192" s="12" t="inlineStr">
        <is>
          <t>PASS</t>
        </is>
      </c>
      <c r="G192" s="5" t="inlineStr">
        <is>
          <t>fuerzas SAP frente a resultados CYPE (≤ 5 %)</t>
        </is>
      </c>
      <c r="H192" s="5" t="inlineStr">
        <is>
          <t>P1792 table: Pie G, Q, V(3)</t>
        </is>
      </c>
      <c r="I192" s="5" t="inlineStr">
        <is>
          <t>listing ≈ 1.014 × ray η (systematic, see meta)</t>
        </is>
      </c>
    </row>
    <row r="193">
      <c r="A193" s="5" t="inlineStr">
        <is>
          <t>Pilotes</t>
        </is>
      </c>
      <c r="B193" s="5" t="inlineStr">
        <is>
          <t>P15 Pie 'Aprov.' Q (SAP forces)</t>
        </is>
      </c>
      <c r="C193" s="21" t="n">
        <v>50.804</v>
      </c>
      <c r="D193" s="21" t="n">
        <v>51</v>
      </c>
      <c r="E193" s="22" t="n">
        <v>-0.38399</v>
      </c>
      <c r="F193" s="12" t="inlineStr">
        <is>
          <t>PASS</t>
        </is>
      </c>
      <c r="G193" s="5" t="inlineStr">
        <is>
          <t>fuerzas SAP frente a resultados CYPE (≤ 5 %)</t>
        </is>
      </c>
      <c r="H193" s="5" t="inlineStr">
        <is>
          <t>P1792 table: Pie G, Q, V(3)</t>
        </is>
      </c>
      <c r="I193" s="5" t="inlineStr"/>
    </row>
    <row r="194">
      <c r="A194" s="5" t="inlineStr">
        <is>
          <t>Pilotes</t>
        </is>
      </c>
      <c r="B194" s="5" t="inlineStr">
        <is>
          <t>P15 Arranque 'Aprov.' N,M (ray, SAP forces)</t>
        </is>
      </c>
      <c r="C194" s="21" t="n">
        <v>84.462</v>
      </c>
      <c r="D194" s="21" t="n">
        <v>85.3</v>
      </c>
      <c r="E194" s="22" t="n">
        <v>-0.98281</v>
      </c>
      <c r="F194" s="12" t="inlineStr">
        <is>
          <t>PASS</t>
        </is>
      </c>
      <c r="G194" s="5" t="inlineStr">
        <is>
          <t>fuerzas SAP frente a resultados CYPE (≤ 5 %)</t>
        </is>
      </c>
      <c r="H194" s="5" t="inlineStr">
        <is>
          <t>P1792 table: Arranque G, Q, V(3)</t>
        </is>
      </c>
      <c r="I194" s="5" t="inlineStr">
        <is>
          <t>listing ≈ 1.014 × ray η (systematic, see meta)</t>
        </is>
      </c>
    </row>
    <row r="195">
      <c r="A195" s="5" t="inlineStr">
        <is>
          <t>Pilotes</t>
        </is>
      </c>
      <c r="B195" s="5" t="inlineStr">
        <is>
          <t>P15 Arranque 'Aprov.' Q (SAP forces)</t>
        </is>
      </c>
      <c r="C195" s="21" t="n">
        <v>7.907</v>
      </c>
      <c r="D195" s="21" t="n">
        <v>8</v>
      </c>
      <c r="E195" s="22" t="n">
        <v>-1.164</v>
      </c>
      <c r="F195" s="12" t="inlineStr">
        <is>
          <t>PASS</t>
        </is>
      </c>
      <c r="G195" s="5" t="inlineStr">
        <is>
          <t>fuerzas SAP frente a resultados CYPE (≤ 5 %)</t>
        </is>
      </c>
      <c r="H195" s="5" t="inlineStr">
        <is>
          <t>P1792 table: Arranque G, Q, V(3)</t>
        </is>
      </c>
      <c r="I195" s="5" t="inlineStr"/>
    </row>
    <row r="196">
      <c r="A196" s="5" t="inlineStr">
        <is>
          <t>Pilotes</t>
        </is>
      </c>
      <c r="B196" s="5" t="inlineStr">
        <is>
          <t>P16 Cabeza 'Aprov.' N,M (ray, SAP forces)</t>
        </is>
      </c>
      <c r="C196" s="21" t="n">
        <v>79.538</v>
      </c>
      <c r="D196" s="21" t="n">
        <v>76.09999999999999</v>
      </c>
      <c r="E196" s="22" t="n">
        <v>4.518</v>
      </c>
      <c r="F196" s="12" t="inlineStr">
        <is>
          <t>PASS</t>
        </is>
      </c>
      <c r="G196" s="5" t="inlineStr">
        <is>
          <t>fuerzas SAP frente a resultados CYPE (≤ 5 %)</t>
        </is>
      </c>
      <c r="H196" s="5" t="inlineStr">
        <is>
          <t>P1797 table: Cabeza G, Q, V(3)</t>
        </is>
      </c>
      <c r="I196" s="5" t="inlineStr">
        <is>
          <t>listing ≈ 1.014 × ray η (systematic, see meta)</t>
        </is>
      </c>
    </row>
    <row r="197">
      <c r="A197" s="5" t="inlineStr">
        <is>
          <t>Pilotes</t>
        </is>
      </c>
      <c r="B197" s="5" t="inlineStr">
        <is>
          <t>P16 Cabeza 'Aprov.' Q (SAP forces)</t>
        </is>
      </c>
      <c r="C197" s="21" t="n">
        <v>53.03</v>
      </c>
      <c r="D197" s="21" t="n">
        <v>53.1</v>
      </c>
      <c r="E197" s="22" t="n">
        <v>-0.13121</v>
      </c>
      <c r="F197" s="12" t="inlineStr">
        <is>
          <t>PASS</t>
        </is>
      </c>
      <c r="G197" s="5" t="inlineStr">
        <is>
          <t>fuerzas SAP frente a resultados CYPE (≤ 5 %)</t>
        </is>
      </c>
      <c r="H197" s="5" t="inlineStr">
        <is>
          <t>P1797 table: Cabeza G, Q, V(3)</t>
        </is>
      </c>
      <c r="I197" s="5" t="inlineStr"/>
    </row>
    <row r="198">
      <c r="A198" s="5" t="inlineStr">
        <is>
          <t>Pilotes</t>
        </is>
      </c>
      <c r="B198" s="5" t="inlineStr">
        <is>
          <t>P16 Pie 'Aprov.' N,M (ray, SAP forces)</t>
        </is>
      </c>
      <c r="C198" s="21" t="n">
        <v>78.858</v>
      </c>
      <c r="D198" s="21" t="n">
        <v>77.5</v>
      </c>
      <c r="E198" s="22" t="n">
        <v>1.753</v>
      </c>
      <c r="F198" s="12" t="inlineStr">
        <is>
          <t>PASS</t>
        </is>
      </c>
      <c r="G198" s="5" t="inlineStr">
        <is>
          <t>fuerzas SAP frente a resultados CYPE (≤ 5 %)</t>
        </is>
      </c>
      <c r="H198" s="5" t="inlineStr">
        <is>
          <t>P1797 table: Pie G, Q, V(3)</t>
        </is>
      </c>
      <c r="I198" s="5" t="inlineStr">
        <is>
          <t>listing ≈ 1.014 × ray η (systematic, see meta)</t>
        </is>
      </c>
    </row>
    <row r="199">
      <c r="A199" s="5" t="inlineStr">
        <is>
          <t>Pilotes</t>
        </is>
      </c>
      <c r="B199" s="5" t="inlineStr">
        <is>
          <t>P16 Pie 'Aprov.' Q (SAP forces)</t>
        </is>
      </c>
      <c r="C199" s="21" t="n">
        <v>52.094</v>
      </c>
      <c r="D199" s="21" t="n">
        <v>52</v>
      </c>
      <c r="E199" s="22" t="n">
        <v>0.18076</v>
      </c>
      <c r="F199" s="12" t="inlineStr">
        <is>
          <t>PASS</t>
        </is>
      </c>
      <c r="G199" s="5" t="inlineStr">
        <is>
          <t>fuerzas SAP frente a resultados CYPE (≤ 5 %)</t>
        </is>
      </c>
      <c r="H199" s="5" t="inlineStr">
        <is>
          <t>P1797 table: Pie G, Q, V(3)</t>
        </is>
      </c>
      <c r="I199" s="5" t="inlineStr"/>
    </row>
    <row r="200">
      <c r="A200" s="5" t="inlineStr">
        <is>
          <t>Pilotes</t>
        </is>
      </c>
      <c r="B200" s="5" t="inlineStr">
        <is>
          <t>P16 Arranque 'Aprov.' N,M (ray, SAP forces)</t>
        </is>
      </c>
      <c r="C200" s="21" t="n">
        <v>77.92400000000001</v>
      </c>
      <c r="D200" s="21" t="n">
        <v>76.5</v>
      </c>
      <c r="E200" s="22" t="n">
        <v>1.861</v>
      </c>
      <c r="F200" s="12" t="inlineStr">
        <is>
          <t>PASS</t>
        </is>
      </c>
      <c r="G200" s="5" t="inlineStr">
        <is>
          <t>fuerzas SAP frente a resultados CYPE (≤ 5 %)</t>
        </is>
      </c>
      <c r="H200" s="5" t="inlineStr">
        <is>
          <t>P1797 table: Arranque G, Q, V(3)</t>
        </is>
      </c>
      <c r="I200" s="5" t="inlineStr">
        <is>
          <t>listing ≈ 1.014 × ray η (systematic, see meta)</t>
        </is>
      </c>
    </row>
    <row r="201">
      <c r="A201" s="5" t="inlineStr">
        <is>
          <t>Pilotes</t>
        </is>
      </c>
      <c r="B201" s="5" t="inlineStr">
        <is>
          <t>P16 Arranque 'Aprov.' Q (SAP forces)</t>
        </is>
      </c>
      <c r="C201" s="21" t="n">
        <v>7.354</v>
      </c>
      <c r="D201" s="21" t="n">
        <v>7.3</v>
      </c>
      <c r="E201" s="22" t="n">
        <v>0.73869</v>
      </c>
      <c r="F201" s="12" t="inlineStr">
        <is>
          <t>PASS</t>
        </is>
      </c>
      <c r="G201" s="5" t="inlineStr">
        <is>
          <t>fuerzas SAP frente a resultados CYPE (≤ 5 %)</t>
        </is>
      </c>
      <c r="H201" s="5" t="inlineStr">
        <is>
          <t>P1797 table: Arranque G, Q, V(3)</t>
        </is>
      </c>
      <c r="I201" s="5" t="inlineStr"/>
    </row>
    <row r="202">
      <c r="A202" s="5" t="inlineStr">
        <is>
          <t>Pilotes</t>
        </is>
      </c>
      <c r="B202" s="5" t="inlineStr">
        <is>
          <t>P17 Cabeza 'Aprov.' N,M (ray, SAP forces)</t>
        </is>
      </c>
      <c r="C202" s="21" t="n">
        <v>67.042</v>
      </c>
      <c r="D202" s="21" t="n">
        <v>67.8</v>
      </c>
      <c r="E202" s="22" t="n">
        <v>-1.118</v>
      </c>
      <c r="F202" s="12" t="inlineStr">
        <is>
          <t>PASS</t>
        </is>
      </c>
      <c r="G202" s="5" t="inlineStr">
        <is>
          <t>fuerzas SAP frente a resultados CYPE (≤ 5 %)</t>
        </is>
      </c>
      <c r="H202" s="5" t="inlineStr">
        <is>
          <t>P1802 table: Cabeza G, V(2)</t>
        </is>
      </c>
      <c r="I202" s="5" t="inlineStr">
        <is>
          <t>listing ≈ 1.014 × ray η (systematic, see meta)</t>
        </is>
      </c>
    </row>
    <row r="203">
      <c r="A203" s="5" t="inlineStr">
        <is>
          <t>Pilotes</t>
        </is>
      </c>
      <c r="B203" s="5" t="inlineStr">
        <is>
          <t>P17 Cabeza 'Aprov.' Q (SAP forces)</t>
        </is>
      </c>
      <c r="C203" s="21" t="n">
        <v>69.29900000000001</v>
      </c>
      <c r="D203" s="21" t="n">
        <v>69.2</v>
      </c>
      <c r="E203" s="22" t="n">
        <v>0.14258</v>
      </c>
      <c r="F203" s="12" t="inlineStr">
        <is>
          <t>PASS</t>
        </is>
      </c>
      <c r="G203" s="5" t="inlineStr">
        <is>
          <t>fuerzas SAP frente a resultados CYPE (≤ 5 %)</t>
        </is>
      </c>
      <c r="H203" s="5" t="inlineStr">
        <is>
          <t>P1802 table: Cabeza G, V(2)</t>
        </is>
      </c>
      <c r="I203" s="5" t="inlineStr"/>
    </row>
    <row r="204">
      <c r="A204" s="5" t="inlineStr">
        <is>
          <t>Pilotes</t>
        </is>
      </c>
      <c r="B204" s="5" t="inlineStr">
        <is>
          <t>P17 Pie 'Aprov.' N,M (ray, SAP forces)</t>
        </is>
      </c>
      <c r="C204" s="21" t="n">
        <v>70.69499999999999</v>
      </c>
      <c r="D204" s="21" t="n">
        <v>71.5</v>
      </c>
      <c r="E204" s="22" t="n">
        <v>-1.125</v>
      </c>
      <c r="F204" s="12" t="inlineStr">
        <is>
          <t>PASS</t>
        </is>
      </c>
      <c r="G204" s="5" t="inlineStr">
        <is>
          <t>fuerzas SAP frente a resultados CYPE (≤ 5 %)</t>
        </is>
      </c>
      <c r="H204" s="5" t="inlineStr">
        <is>
          <t>P1802 table: Pie G, V(2)</t>
        </is>
      </c>
      <c r="I204" s="5" t="inlineStr">
        <is>
          <t>listing ≈ 1.014 × ray η (systematic, see meta)</t>
        </is>
      </c>
    </row>
    <row r="205">
      <c r="A205" s="5" t="inlineStr">
        <is>
          <t>Pilotes</t>
        </is>
      </c>
      <c r="B205" s="5" t="inlineStr">
        <is>
          <t>P17 Pie 'Aprov.' Q (SAP forces)</t>
        </is>
      </c>
      <c r="C205" s="21" t="n">
        <v>67.669</v>
      </c>
      <c r="D205" s="21" t="n">
        <v>67.5</v>
      </c>
      <c r="E205" s="22" t="n">
        <v>0.2497</v>
      </c>
      <c r="F205" s="12" t="inlineStr">
        <is>
          <t>PASS</t>
        </is>
      </c>
      <c r="G205" s="5" t="inlineStr">
        <is>
          <t>fuerzas SAP frente a resultados CYPE (≤ 5 %)</t>
        </is>
      </c>
      <c r="H205" s="5" t="inlineStr">
        <is>
          <t>P1802 table: Pie G, V(2)</t>
        </is>
      </c>
      <c r="I205" s="5" t="inlineStr"/>
    </row>
    <row r="206">
      <c r="A206" s="5" t="inlineStr">
        <is>
          <t>Pilotes</t>
        </is>
      </c>
      <c r="B206" s="5" t="inlineStr">
        <is>
          <t>P17 Arranque 'Aprov.' N,M (ray, SAP forces)</t>
        </is>
      </c>
      <c r="C206" s="21" t="n">
        <v>70.13800000000001</v>
      </c>
      <c r="D206" s="21" t="n">
        <v>70.90000000000001</v>
      </c>
      <c r="E206" s="22" t="n">
        <v>-1.074</v>
      </c>
      <c r="F206" s="12" t="inlineStr">
        <is>
          <t>PASS</t>
        </is>
      </c>
      <c r="G206" s="5" t="inlineStr">
        <is>
          <t>fuerzas SAP frente a resultados CYPE (≤ 5 %)</t>
        </is>
      </c>
      <c r="H206" s="5" t="inlineStr">
        <is>
          <t>P1802 table: Arranque G, V(2)</t>
        </is>
      </c>
      <c r="I206" s="5" t="inlineStr">
        <is>
          <t>listing ≈ 1.014 × ray η (systematic, see meta)</t>
        </is>
      </c>
    </row>
    <row r="207">
      <c r="A207" s="5" t="inlineStr">
        <is>
          <t>Pilotes</t>
        </is>
      </c>
      <c r="B207" s="5" t="inlineStr">
        <is>
          <t>P17 Arranque 'Aprov.' Q (SAP forces)</t>
        </is>
      </c>
      <c r="C207" s="21" t="n">
        <v>6.876</v>
      </c>
      <c r="D207" s="21" t="n">
        <v>6.9</v>
      </c>
      <c r="E207" s="22" t="n">
        <v>-0.34478</v>
      </c>
      <c r="F207" s="12" t="inlineStr">
        <is>
          <t>PASS</t>
        </is>
      </c>
      <c r="G207" s="5" t="inlineStr">
        <is>
          <t>fuerzas SAP frente a resultados CYPE (≤ 5 %)</t>
        </is>
      </c>
      <c r="H207" s="5" t="inlineStr">
        <is>
          <t>P1802 table: Arranque G, V(2)</t>
        </is>
      </c>
      <c r="I207" s="5" t="inlineStr"/>
    </row>
    <row r="208">
      <c r="A208" s="5" t="inlineStr">
        <is>
          <t>Pilotes</t>
        </is>
      </c>
      <c r="B208" s="5" t="inlineStr">
        <is>
          <t>P18 Cabeza 'Aprov.' N,M (ray, SAP forces)</t>
        </is>
      </c>
      <c r="C208" s="21" t="n">
        <v>71.21299999999999</v>
      </c>
      <c r="D208" s="21" t="n">
        <v>72.5</v>
      </c>
      <c r="E208" s="22" t="n">
        <v>-1.775</v>
      </c>
      <c r="F208" s="12" t="inlineStr">
        <is>
          <t>PASS</t>
        </is>
      </c>
      <c r="G208" s="5" t="inlineStr">
        <is>
          <t>fuerzas SAP frente a resultados CYPE (≤ 5 %)</t>
        </is>
      </c>
      <c r="H208" s="5" t="inlineStr">
        <is>
          <t>P1807 table: Cabeza G, V(2)</t>
        </is>
      </c>
      <c r="I208" s="5" t="inlineStr">
        <is>
          <t>listing ≈ 1.014 × ray η (systematic, see meta)</t>
        </is>
      </c>
    </row>
    <row r="209">
      <c r="A209" s="5" t="inlineStr">
        <is>
          <t>Pilotes</t>
        </is>
      </c>
      <c r="B209" s="5" t="inlineStr">
        <is>
          <t>P18 Cabeza 'Aprov.' Q (SAP forces)</t>
        </is>
      </c>
      <c r="C209" s="21" t="n">
        <v>73.864</v>
      </c>
      <c r="D209" s="21" t="n">
        <v>74.2</v>
      </c>
      <c r="E209" s="22" t="n">
        <v>-0.45289</v>
      </c>
      <c r="F209" s="12" t="inlineStr">
        <is>
          <t>PASS</t>
        </is>
      </c>
      <c r="G209" s="5" t="inlineStr">
        <is>
          <t>fuerzas SAP frente a resultados CYPE (≤ 5 %)</t>
        </is>
      </c>
      <c r="H209" s="5" t="inlineStr">
        <is>
          <t>P1807 table: Cabeza G, V(2)</t>
        </is>
      </c>
      <c r="I209" s="5" t="inlineStr"/>
    </row>
    <row r="210">
      <c r="A210" s="5" t="inlineStr">
        <is>
          <t>Pilotes</t>
        </is>
      </c>
      <c r="B210" s="5" t="inlineStr">
        <is>
          <t>P18 Pie 'Aprov.' N,M (ray, SAP forces)</t>
        </is>
      </c>
      <c r="C210" s="21" t="n">
        <v>72.74299999999999</v>
      </c>
      <c r="D210" s="21" t="n">
        <v>73.90000000000001</v>
      </c>
      <c r="E210" s="22" t="n">
        <v>-1.566</v>
      </c>
      <c r="F210" s="12" t="inlineStr">
        <is>
          <t>PASS</t>
        </is>
      </c>
      <c r="G210" s="5" t="inlineStr">
        <is>
          <t>fuerzas SAP frente a resultados CYPE (≤ 5 %)</t>
        </is>
      </c>
      <c r="H210" s="5" t="inlineStr">
        <is>
          <t>P1807 table: Pie G, V(2)</t>
        </is>
      </c>
      <c r="I210" s="5" t="inlineStr">
        <is>
          <t>listing ≈ 1.014 × ray η (systematic, see meta)</t>
        </is>
      </c>
    </row>
    <row r="211">
      <c r="A211" s="5" t="inlineStr">
        <is>
          <t>Pilotes</t>
        </is>
      </c>
      <c r="B211" s="5" t="inlineStr">
        <is>
          <t>P18 Pie 'Aprov.' Q (SAP forces)</t>
        </is>
      </c>
      <c r="C211" s="21" t="n">
        <v>72.065</v>
      </c>
      <c r="D211" s="21" t="n">
        <v>72.2</v>
      </c>
      <c r="E211" s="22" t="n">
        <v>-0.18766</v>
      </c>
      <c r="F211" s="12" t="inlineStr">
        <is>
          <t>PASS</t>
        </is>
      </c>
      <c r="G211" s="5" t="inlineStr">
        <is>
          <t>fuerzas SAP frente a resultados CYPE (≤ 5 %)</t>
        </is>
      </c>
      <c r="H211" s="5" t="inlineStr">
        <is>
          <t>P1807 table: Pie G, V(2)</t>
        </is>
      </c>
      <c r="I211" s="5" t="inlineStr"/>
    </row>
    <row r="212">
      <c r="A212" s="5" t="inlineStr">
        <is>
          <t>Pilotes</t>
        </is>
      </c>
      <c r="B212" s="5" t="inlineStr">
        <is>
          <t>P18 Arranque 'Aprov.' N,M (ray, SAP forces)</t>
        </is>
      </c>
      <c r="C212" s="21" t="n">
        <v>72.08499999999999</v>
      </c>
      <c r="D212" s="21" t="n">
        <v>73.3</v>
      </c>
      <c r="E212" s="22" t="n">
        <v>-1.657</v>
      </c>
      <c r="F212" s="12" t="inlineStr">
        <is>
          <t>PASS</t>
        </is>
      </c>
      <c r="G212" s="5" t="inlineStr">
        <is>
          <t>fuerzas SAP frente a resultados CYPE (≤ 5 %)</t>
        </is>
      </c>
      <c r="H212" s="5" t="inlineStr">
        <is>
          <t>P1807 table: Arranque G, V(2)</t>
        </is>
      </c>
      <c r="I212" s="5" t="inlineStr">
        <is>
          <t>listing ≈ 1.014 × ray η (systematic, see meta)</t>
        </is>
      </c>
    </row>
    <row r="213">
      <c r="A213" s="5" t="inlineStr">
        <is>
          <t>Pilotes</t>
        </is>
      </c>
      <c r="B213" s="5" t="inlineStr">
        <is>
          <t>P18 Arranque 'Aprov.' Q (SAP forces)</t>
        </is>
      </c>
      <c r="C213" s="21" t="n">
        <v>7.071</v>
      </c>
      <c r="D213" s="21" t="n">
        <v>7.1</v>
      </c>
      <c r="E213" s="22" t="n">
        <v>-0.41492</v>
      </c>
      <c r="F213" s="12" t="inlineStr">
        <is>
          <t>PASS</t>
        </is>
      </c>
      <c r="G213" s="5" t="inlineStr">
        <is>
          <t>fuerzas SAP frente a resultados CYPE (≤ 5 %)</t>
        </is>
      </c>
      <c r="H213" s="5" t="inlineStr">
        <is>
          <t>P1807 table: Arranque G, V(2)</t>
        </is>
      </c>
      <c r="I213" s="5" t="inlineStr"/>
    </row>
    <row r="214">
      <c r="A214" s="5" t="inlineStr">
        <is>
          <t>Vigas</t>
        </is>
      </c>
      <c r="B214" s="5" t="inlineStr">
        <is>
          <t>P3-P4 MRd,x (hogging, Mode.CYPE)</t>
        </is>
      </c>
      <c r="C214" s="21" t="n">
        <v>-325.7808</v>
      </c>
      <c r="D214" s="21" t="n">
        <v>-325.78</v>
      </c>
      <c r="E214" s="22" t="n">
        <v>0</v>
      </c>
      <c r="F214" s="12" t="inlineStr">
        <is>
          <t>PASS</t>
        </is>
      </c>
      <c r="G214" s="5" t="inlineStr">
        <is>
          <t>datos de CYPE (reproducción exacta)</t>
        </is>
      </c>
      <c r="H214" s="5" t="inlineStr">
        <is>
          <t>P369 table: MRd,x</t>
        </is>
      </c>
      <c r="I214" s="5" t="inlineStr"/>
    </row>
    <row r="215">
      <c r="A215" s="5" t="inlineStr">
        <is>
          <t>Vigas</t>
        </is>
      </c>
      <c r="B215" s="5" t="inlineStr">
        <is>
          <t>P3-P4 neutral-axis depth x (figure image112)</t>
        </is>
      </c>
      <c r="C215" s="21" t="n">
        <v>68.51949999999999</v>
      </c>
      <c r="D215" s="21" t="n">
        <v>68.52</v>
      </c>
      <c r="E215" s="22" t="n">
        <v>-0</v>
      </c>
      <c r="F215" s="12" t="inlineStr">
        <is>
          <t>PASS</t>
        </is>
      </c>
      <c r="G215" s="5" t="inlineStr">
        <is>
          <t>datos de CYPE (reproducción exacta)</t>
        </is>
      </c>
      <c r="H215" s="5" t="inlineStr">
        <is>
          <t>P381 figure image112</t>
        </is>
      </c>
      <c r="I215" s="5" t="inlineStr"/>
    </row>
    <row r="216">
      <c r="A216" s="5" t="inlineStr">
        <is>
          <t>Vigas</t>
        </is>
      </c>
      <c r="B216" s="5" t="inlineStr">
        <is>
          <t>P3-P4 Cc at ultimate</t>
        </is>
      </c>
      <c r="C216" s="21" t="n">
        <v>766.9959</v>
      </c>
      <c r="D216" s="21" t="n">
        <v>767</v>
      </c>
      <c r="E216" s="22" t="n">
        <v>-0</v>
      </c>
      <c r="F216" s="12" t="inlineStr">
        <is>
          <t>PASS</t>
        </is>
      </c>
      <c r="G216" s="5" t="inlineStr">
        <is>
          <t>datos de CYPE (reproducción exacta)</t>
        </is>
      </c>
      <c r="H216" s="5" t="inlineStr">
        <is>
          <t>P384 table</t>
        </is>
      </c>
      <c r="I216" s="5" t="inlineStr"/>
    </row>
    <row r="217">
      <c r="A217" s="5" t="inlineStr">
        <is>
          <t>Vigas</t>
        </is>
      </c>
      <c r="B217" s="5" t="inlineStr">
        <is>
          <t>P3-P4 eta N,M = 273.71/MRd</t>
        </is>
      </c>
      <c r="C217" s="21" t="n">
        <v>0.8401999999999999</v>
      </c>
      <c r="D217" s="21" t="n">
        <v>0.84</v>
      </c>
      <c r="E217" s="22" t="n">
        <v>0.02</v>
      </c>
      <c r="F217" s="12" t="inlineStr">
        <is>
          <t>PASS</t>
        </is>
      </c>
      <c r="G217" s="5" t="inlineStr">
        <is>
          <t>datos de CYPE (reproducción exacta)</t>
        </is>
      </c>
      <c r="H217" s="5" t="inlineStr">
        <is>
          <t>P369 table: η</t>
        </is>
      </c>
      <c r="I217" s="5" t="inlineStr"/>
    </row>
    <row r="218">
      <c r="A218" s="5" t="inlineStr">
        <is>
          <t>Vigas</t>
        </is>
      </c>
      <c r="B218" s="5" t="inlineStr">
        <is>
          <t>P3-P4 z = 0.9 d</t>
        </is>
      </c>
      <c r="C218" s="21" t="n">
        <v>432</v>
      </c>
      <c r="D218" s="21" t="n">
        <v>432</v>
      </c>
      <c r="E218" s="22" t="n">
        <v>0</v>
      </c>
      <c r="F218" s="12" t="inlineStr">
        <is>
          <t>PASS</t>
        </is>
      </c>
      <c r="G218" s="5" t="inlineStr">
        <is>
          <t>datos de CYPE (reproducción exacta)</t>
        </is>
      </c>
      <c r="H218" s="5" t="inlineStr">
        <is>
          <t>P364 table: [Esfuerzo cortante de agotamiento por compresión oblicua e...] z</t>
        </is>
      </c>
      <c r="I218" s="5" t="inlineStr"/>
    </row>
    <row r="219">
      <c r="A219" s="5" t="inlineStr">
        <is>
          <t>Vigas</t>
        </is>
      </c>
      <c r="B219" s="5" t="inlineStr">
        <is>
          <t>P3-P4 VRd,max (theta 45)</t>
        </is>
      </c>
      <c r="C219" s="21" t="n">
        <v>1512</v>
      </c>
      <c r="D219" s="21" t="n">
        <v>1512</v>
      </c>
      <c r="E219" s="22" t="n">
        <v>0</v>
      </c>
      <c r="F219" s="12" t="inlineStr">
        <is>
          <t>PASS</t>
        </is>
      </c>
      <c r="G219" s="5" t="inlineStr">
        <is>
          <t>datos de CYPE (reproducción exacta)</t>
        </is>
      </c>
      <c r="H219" s="5" t="inlineStr">
        <is>
          <t>P364 table: [Se debe satisfacer] VRd,max,Vy</t>
        </is>
      </c>
      <c r="I219" s="5" t="inlineStr"/>
    </row>
    <row r="220">
      <c r="A220" s="5" t="inlineStr">
        <is>
          <t>Vigas</t>
        </is>
      </c>
      <c r="B220" s="5" t="inlineStr">
        <is>
          <t>P3-P4 VRd,s (3 legs Ø10/100, fywd 400)</t>
        </is>
      </c>
      <c r="C220" s="21" t="n">
        <v>407.1504</v>
      </c>
      <c r="D220" s="21" t="n">
        <v>407.15</v>
      </c>
      <c r="E220" s="22" t="n">
        <v>0</v>
      </c>
      <c r="F220" s="12" t="inlineStr">
        <is>
          <t>PASS</t>
        </is>
      </c>
      <c r="G220" s="5" t="inlineStr">
        <is>
          <t>datos de CYPE (reproducción exacta)</t>
        </is>
      </c>
      <c r="H220" s="5" t="inlineStr">
        <is>
          <t>P364 table: [Se debe satisfacer] VRd,s,Vy</t>
        </is>
      </c>
      <c r="I220" s="5" t="inlineStr"/>
    </row>
    <row r="221">
      <c r="A221" s="5" t="inlineStr">
        <is>
          <t>Vigas</t>
        </is>
      </c>
      <c r="B221" s="5" t="inlineStr">
        <is>
          <t>P3-P4 eta VEd/VRd,s (VEd = 390.18)</t>
        </is>
      </c>
      <c r="C221" s="21" t="n">
        <v>0.9583</v>
      </c>
      <c r="D221" s="21" t="n">
        <v>0.958</v>
      </c>
      <c r="E221" s="22" t="n">
        <v>0.03</v>
      </c>
      <c r="F221" s="12" t="inlineStr">
        <is>
          <t>PASS</t>
        </is>
      </c>
      <c r="G221" s="5" t="inlineStr">
        <is>
          <t>datos de CYPE (reproducción exacta)</t>
        </is>
      </c>
      <c r="H221" s="5" t="inlineStr">
        <is>
          <t>P364 table: [Se debe satisfacer] η (occurrence 2)</t>
        </is>
      </c>
      <c r="I221" s="5" t="inlineStr"/>
    </row>
    <row r="222">
      <c r="A222" s="5" t="inlineStr">
        <is>
          <t>Vigas</t>
        </is>
      </c>
      <c r="B222" s="5" t="inlineStr">
        <is>
          <t>P3-P4 eta VEd/VRd,max</t>
        </is>
      </c>
      <c r="C222" s="21" t="n">
        <v>0.2581</v>
      </c>
      <c r="D222" s="21" t="n">
        <v>0.258</v>
      </c>
      <c r="E222" s="22" t="n">
        <v>0.02</v>
      </c>
      <c r="F222" s="12" t="inlineStr">
        <is>
          <t>PASS</t>
        </is>
      </c>
      <c r="G222" s="5" t="inlineStr">
        <is>
          <t>datos de CYPE (reproducción exacta)</t>
        </is>
      </c>
      <c r="H222" s="5" t="inlineStr">
        <is>
          <t>P364 table: [Se debe satisfacer] η (occurrence 1)</t>
        </is>
      </c>
      <c r="I222" s="5" t="inlineStr"/>
    </row>
    <row r="223">
      <c r="A223" s="5" t="inlineStr">
        <is>
          <t>Vigas</t>
        </is>
      </c>
      <c r="B223" s="5" t="inlineStr">
        <is>
          <t>P3-P4 'Área Transv. Nec.' = VEd/(z fywd) [cm2/m]</t>
        </is>
      </c>
      <c r="C223" s="21" t="n">
        <v>22.5799</v>
      </c>
      <c r="D223" s="21" t="n">
        <v>22.58</v>
      </c>
      <c r="E223" s="22" t="n">
        <v>-0</v>
      </c>
      <c r="F223" s="12" t="inlineStr">
        <is>
          <t>PASS</t>
        </is>
      </c>
      <c r="G223" s="5" t="inlineStr">
        <is>
          <t>datos de CYPE (reproducción exacta)</t>
        </is>
      </c>
      <c r="H223" s="5" t="inlineStr">
        <is>
          <t>listing P1620 table, Pórtico 4 P3-P4 1/3L</t>
        </is>
      </c>
      <c r="I223" s="5" t="inlineStr"/>
    </row>
    <row r="224">
      <c r="A224" s="5" t="inlineStr">
        <is>
          <t>Vigas</t>
        </is>
      </c>
      <c r="B224" s="5" t="inlineStr">
        <is>
          <t>As,min top (z = 0.9d = 432, CYPE C14) [cm2]</t>
        </is>
      </c>
      <c r="C224" s="21" t="n">
        <v>5.0854</v>
      </c>
      <c r="D224" s="21" t="n">
        <v>5.09</v>
      </c>
      <c r="E224" s="22" t="n">
        <v>-0.09</v>
      </c>
      <c r="F224" s="12" t="inlineStr">
        <is>
          <t>PASS</t>
        </is>
      </c>
      <c r="G224" s="5" t="inlineStr">
        <is>
          <t>datos de CYPE (reproducción exacta)</t>
        </is>
      </c>
      <c r="H224" s="5" t="inlineStr">
        <is>
          <t>P359 table: As,min</t>
        </is>
      </c>
      <c r="I224" s="5" t="inlineStr"/>
    </row>
    <row r="225">
      <c r="A225" s="5" t="inlineStr">
        <is>
          <t>Vigas</t>
        </is>
      </c>
      <c r="B225" s="5" t="inlineStr">
        <is>
          <t>W top (gross) [cm3]</t>
        </is>
      </c>
      <c r="C225" s="21" t="n">
        <v>28339.3524</v>
      </c>
      <c r="D225" s="21" t="n">
        <v>28339.35</v>
      </c>
      <c r="E225" s="22" t="n">
        <v>0</v>
      </c>
      <c r="F225" s="12" t="inlineStr">
        <is>
          <t>PASS</t>
        </is>
      </c>
      <c r="G225" s="5" t="inlineStr">
        <is>
          <t>datos de CYPE (reproducción exacta)</t>
        </is>
      </c>
      <c r="H225" s="5" t="inlineStr">
        <is>
          <t>P359 table: W</t>
        </is>
      </c>
      <c r="I225" s="5" t="inlineStr"/>
    </row>
    <row r="226">
      <c r="A226" s="5" t="inlineStr">
        <is>
          <t>Vigas</t>
        </is>
      </c>
      <c r="B226" s="5" t="inlineStr">
        <is>
          <t>As,min top with z = 0.8h (CE text) [cm2]</t>
        </is>
      </c>
      <c r="C226" s="21" t="n">
        <v>4.9929</v>
      </c>
      <c r="D226" s="21" t="n">
        <v>5.09</v>
      </c>
      <c r="E226" s="22" t="n">
        <v>-1.91</v>
      </c>
      <c r="F226" s="26" t="inlineStr">
        <is>
          <t>INFO</t>
        </is>
      </c>
      <c r="G226" s="5" t="inlineStr">
        <is>
          <t>datos de CYPE (reproducción exacta)</t>
        </is>
      </c>
      <c r="H226" s="5" t="inlineStr">
        <is>
          <t>A19.9.2.1.1(1)</t>
        </is>
      </c>
      <c r="I226" s="5" t="inlineStr">
        <is>
          <t>code-strict alternative (-1.8 %)</t>
        </is>
      </c>
    </row>
    <row r="227">
      <c r="A227" s="5" t="inlineStr">
        <is>
          <t>Vigas</t>
        </is>
      </c>
      <c r="B227" s="5" t="inlineStr">
        <is>
          <t>As,min bottom (z = 0.9d) [cm2]</t>
        </is>
      </c>
      <c r="C227" s="21" t="n">
        <v>6.3692</v>
      </c>
      <c r="D227" s="21" t="n">
        <v>6.37</v>
      </c>
      <c r="E227" s="22" t="n">
        <v>-0.01</v>
      </c>
      <c r="F227" s="12" t="inlineStr">
        <is>
          <t>PASS</t>
        </is>
      </c>
      <c r="G227" s="5" t="inlineStr">
        <is>
          <t>datos de CYPE (reproducción exacta)</t>
        </is>
      </c>
      <c r="H227" s="5" t="inlineStr">
        <is>
          <t>listing P1626 table, Pórtico 5 P11-P5 As_bot_nec (M &gt; 0 exists, As,min governs)</t>
        </is>
      </c>
      <c r="I227" s="5" t="inlineStr"/>
    </row>
    <row r="228">
      <c r="A228" s="5" t="inlineStr">
        <is>
          <t>Vigas</t>
        </is>
      </c>
      <c r="B228" s="5" t="inlineStr">
        <is>
          <t>'Área Inf. Nec.' Mmax = 294.61 [cm2]</t>
        </is>
      </c>
      <c r="C228" s="21" t="n">
        <v>15.1009</v>
      </c>
      <c r="D228" s="21" t="n">
        <v>15.1</v>
      </c>
      <c r="E228" s="22" t="n">
        <v>0.01</v>
      </c>
      <c r="F228" s="12" t="inlineStr">
        <is>
          <t>PASS</t>
        </is>
      </c>
      <c r="G228" s="5" t="inlineStr">
        <is>
          <t>datos de CYPE (reproducción exacta)</t>
        </is>
      </c>
      <c r="H228" s="5" t="inlineStr">
        <is>
          <t>listing P1620 table 2/3L</t>
        </is>
      </c>
      <c r="I228" s="5" t="inlineStr"/>
    </row>
    <row r="229">
      <c r="A229" s="5" t="inlineStr">
        <is>
          <t>Vigas</t>
        </is>
      </c>
      <c r="B229" s="5" t="inlineStr">
        <is>
          <t>'Área Sup. Nec.' M(P3) = -273.71 [cm2]</t>
        </is>
      </c>
      <c r="C229" s="21" t="n">
        <v>13.7248</v>
      </c>
      <c r="D229" s="21" t="n">
        <v>13.72</v>
      </c>
      <c r="E229" s="22" t="n">
        <v>0.04</v>
      </c>
      <c r="F229" s="12" t="inlineStr">
        <is>
          <t>PASS</t>
        </is>
      </c>
      <c r="G229" s="5" t="inlineStr">
        <is>
          <t>datos de CYPE (reproducción exacta)</t>
        </is>
      </c>
      <c r="H229" s="5" t="inlineStr">
        <is>
          <t>listing P1620 table 1/3L (node moment, C20)</t>
        </is>
      </c>
      <c r="I229" s="5" t="inlineStr"/>
    </row>
    <row r="230">
      <c r="A230" s="5" t="inlineStr">
        <is>
          <t>Vigas</t>
        </is>
      </c>
      <c r="B230" s="5" t="inlineStr">
        <is>
          <t>rho_w,min·bw (50 cm web) [cm2/m]</t>
        </is>
      </c>
      <c r="C230" s="21" t="n">
        <v>4.7329</v>
      </c>
      <c r="D230" s="21" t="n">
        <v>4.73</v>
      </c>
      <c r="E230" s="22" t="n">
        <v>0.06</v>
      </c>
      <c r="F230" s="12" t="inlineStr">
        <is>
          <t>PASS</t>
        </is>
      </c>
      <c r="G230" s="5" t="inlineStr">
        <is>
          <t>datos de CYPE (reproducción exacta)</t>
        </is>
      </c>
      <c r="H230" s="5" t="inlineStr">
        <is>
          <t>listing 'Nec.' minimum links</t>
        </is>
      </c>
      <c r="I230" s="5" t="inlineStr"/>
    </row>
    <row r="231">
      <c r="A231" s="5" t="inlineStr">
        <is>
          <t>Vigas</t>
        </is>
      </c>
      <c r="B231" s="5" t="inlineStr">
        <is>
          <t>rho_w,min·bw (25 cm edge beam) [cm2/m]</t>
        </is>
      </c>
      <c r="C231" s="21" t="n">
        <v>2.3664</v>
      </c>
      <c r="D231" s="21" t="n">
        <v>2.37</v>
      </c>
      <c r="E231" s="22" t="n">
        <v>-0.15</v>
      </c>
      <c r="F231" s="12" t="inlineStr">
        <is>
          <t>PASS</t>
        </is>
      </c>
      <c r="G231" s="5" t="inlineStr">
        <is>
          <t>datos de CYPE (reproducción exacta)</t>
        </is>
      </c>
      <c r="H231" s="5" t="inlineStr">
        <is>
          <t>listing Pórtico 10 'Nec.'</t>
        </is>
      </c>
      <c r="I231" s="5" t="inlineStr"/>
    </row>
    <row r="232">
      <c r="A232" s="5" t="inlineStr">
        <is>
          <t>Vigas</t>
        </is>
      </c>
      <c r="B232" s="5" t="inlineStr">
        <is>
          <t>sl,max = 0.75 d [mm]</t>
        </is>
      </c>
      <c r="C232" s="21" t="n">
        <v>360</v>
      </c>
      <c r="D232" s="5" t="n">
        <v>360</v>
      </c>
      <c r="E232" s="22" t="n">
        <v>0</v>
      </c>
      <c r="F232" s="12" t="inlineStr">
        <is>
          <t>PASS</t>
        </is>
      </c>
      <c r="G232" s="5" t="inlineStr">
        <is>
          <t>datos de CYPE (reproducción exacta)</t>
        </is>
      </c>
      <c r="H232" s="5" t="inlineStr">
        <is>
          <t>P364 table: check 1 right</t>
        </is>
      </c>
      <c r="I232" s="5" t="inlineStr"/>
    </row>
    <row r="233">
      <c r="A233" s="5" t="inlineStr">
        <is>
          <t>Vigas</t>
        </is>
      </c>
      <c r="B233" s="5" t="inlineStr">
        <is>
          <t>st,max = 0.75 d [mm]</t>
        </is>
      </c>
      <c r="C233" s="21" t="n">
        <v>360</v>
      </c>
      <c r="D233" s="5" t="n">
        <v>360</v>
      </c>
      <c r="E233" s="22" t="n">
        <v>0</v>
      </c>
      <c r="F233" s="12" t="inlineStr">
        <is>
          <t>PASS</t>
        </is>
      </c>
      <c r="G233" s="5" t="inlineStr">
        <is>
          <t>datos de CYPE (reproducción exacta)</t>
        </is>
      </c>
      <c r="H233" s="5" t="inlineStr">
        <is>
          <t>P364 table: check 2 right</t>
        </is>
      </c>
      <c r="I233" s="5" t="inlineStr"/>
    </row>
    <row r="234">
      <c r="A234" s="5" t="inlineStr">
        <is>
          <t>Vigas</t>
        </is>
      </c>
      <c r="B234" s="5" t="inlineStr">
        <is>
          <t>clear spacing top bars [mm]</t>
        </is>
      </c>
      <c r="C234" s="21" t="n">
        <v>62.5</v>
      </c>
      <c r="D234" s="5" t="n">
        <v>63</v>
      </c>
      <c r="E234" s="22" t="n">
        <v>-0.79</v>
      </c>
      <c r="F234" s="12" t="inlineStr">
        <is>
          <t>PASS</t>
        </is>
      </c>
      <c r="G234" s="5" t="inlineStr">
        <is>
          <t>datos de CYPE (reproducción exacta)</t>
        </is>
      </c>
      <c r="H234" s="5" t="inlineStr">
        <is>
          <t>P352 table</t>
        </is>
      </c>
      <c r="I234" s="5" t="inlineStr"/>
    </row>
    <row r="235">
      <c r="A235" s="5" t="inlineStr">
        <is>
          <t>Vigas</t>
        </is>
      </c>
      <c r="B235" s="5" t="inlineStr">
        <is>
          <t>max bar spacing bottom [mm]</t>
        </is>
      </c>
      <c r="C235" s="21" t="n">
        <v>150</v>
      </c>
      <c r="D235" s="5" t="n">
        <v>150</v>
      </c>
      <c r="E235" s="22" t="n">
        <v>0</v>
      </c>
      <c r="F235" s="12" t="inlineStr">
        <is>
          <t>PASS</t>
        </is>
      </c>
      <c r="G235" s="5" t="inlineStr">
        <is>
          <t>datos de CYPE (reproducción exacta)</t>
        </is>
      </c>
      <c r="H235" s="5" t="inlineStr">
        <is>
          <t>P352 table (sb)</t>
        </is>
      </c>
      <c r="I235" s="5" t="inlineStr"/>
    </row>
    <row r="236">
      <c r="A236" s="5" t="inlineStr">
        <is>
          <t>Vigas</t>
        </is>
      </c>
      <c r="B236" s="5" t="inlineStr">
        <is>
          <t>sigma_ct bottom at M_qp = 86 kN·m (hand check) [MPa]</t>
        </is>
      </c>
      <c r="C236" s="21" t="n">
        <v>-2.2048</v>
      </c>
      <c r="D236" s="21" t="n">
        <v>-2.2</v>
      </c>
      <c r="E236" s="22" t="n">
        <v>0.22</v>
      </c>
      <c r="F236" s="12" t="inlineStr">
        <is>
          <t>PASS</t>
        </is>
      </c>
      <c r="G236" s="5" t="inlineStr">
        <is>
          <t>datos de CYPE (reproducción exacta)</t>
        </is>
      </c>
      <c r="H236" s="5" t="inlineStr">
        <is>
          <t>P575 / image118</t>
        </is>
      </c>
      <c r="I236" s="5" t="inlineStr">
        <is>
          <t>homogenised n = Es/Ecm = 6.52, bars 5Ø20 + 7Ø20</t>
        </is>
      </c>
    </row>
    <row r="237">
      <c r="A237" s="5" t="inlineStr">
        <is>
          <t>Vigas</t>
        </is>
      </c>
      <c r="B237" s="5" t="inlineStr">
        <is>
          <t>Mcr,sag (fctm, homogenised) [kN·m]</t>
        </is>
      </c>
      <c r="C237" s="21" t="n">
        <v>125.2086</v>
      </c>
      <c r="D237" s="21" t="n">
        <v>125.21</v>
      </c>
      <c r="E237" s="22" t="n">
        <v>-0</v>
      </c>
      <c r="F237" s="12" t="inlineStr">
        <is>
          <t>PASS</t>
        </is>
      </c>
      <c r="G237" s="5" t="inlineStr">
        <is>
          <t>datos de CYPE (reproducción exacta)</t>
        </is>
      </c>
      <c r="H237" s="5" t="inlineStr">
        <is>
          <t>validate_codigo K.05 (no CYPE print)</t>
        </is>
      </c>
      <c r="I237" s="5" t="inlineStr"/>
    </row>
    <row r="238">
      <c r="A238" s="5" t="inlineStr">
        <is>
          <t>Vigas</t>
        </is>
      </c>
      <c r="B238" s="5" t="inlineStr">
        <is>
          <t>Mcr,hog (fctm, homogenised) [kN·m]</t>
        </is>
      </c>
      <c r="C238" s="21" t="n">
        <v>99.8378</v>
      </c>
      <c r="D238" s="21" t="n">
        <v>99.84</v>
      </c>
      <c r="E238" s="22" t="n">
        <v>-0</v>
      </c>
      <c r="F238" s="12" t="inlineStr">
        <is>
          <t>PASS</t>
        </is>
      </c>
      <c r="G238" s="5" t="inlineStr">
        <is>
          <t>datos de CYPE (reproducción exacta)</t>
        </is>
      </c>
      <c r="H238" s="5" t="inlineStr">
        <is>
          <t>validate_codigo K.06 (no CYPE print)</t>
        </is>
      </c>
      <c r="I238" s="5" t="inlineStr"/>
    </row>
    <row r="239">
      <c r="A239" s="5" t="inlineStr">
        <is>
          <t>Vigas</t>
        </is>
      </c>
      <c r="B239" s="5" t="inlineStr">
        <is>
          <t>fT,lim = L/250 (L = 3.05) [mm]</t>
        </is>
      </c>
      <c r="C239" s="21" t="n">
        <v>12.2</v>
      </c>
      <c r="D239" s="21" t="n">
        <v>12.2</v>
      </c>
      <c r="E239" s="22" t="n">
        <v>0</v>
      </c>
      <c r="F239" s="12" t="inlineStr">
        <is>
          <t>PASS</t>
        </is>
      </c>
      <c r="G239" s="5" t="inlineStr">
        <is>
          <t>datos de CYPE (reproducción exacta)</t>
        </is>
      </c>
      <c r="H239" s="5" t="inlineStr">
        <is>
          <t>P583 table</t>
        </is>
      </c>
      <c r="I239" s="5" t="inlineStr"/>
    </row>
    <row r="240">
      <c r="A240" s="5" t="inlineStr">
        <is>
          <t>Vigas</t>
        </is>
      </c>
      <c r="B240" s="5" t="inlineStr">
        <is>
          <t>fA,lim = L/500 [mm]</t>
        </is>
      </c>
      <c r="C240" s="21" t="n">
        <v>6.1</v>
      </c>
      <c r="D240" s="21" t="n">
        <v>6.1</v>
      </c>
      <c r="E240" s="22" t="n">
        <v>0</v>
      </c>
      <c r="F240" s="12" t="inlineStr">
        <is>
          <t>PASS</t>
        </is>
      </c>
      <c r="G240" s="5" t="inlineStr">
        <is>
          <t>datos de CYPE (reproducción exacta)</t>
        </is>
      </c>
      <c r="H240" s="5" t="inlineStr">
        <is>
          <t>P581 table</t>
        </is>
      </c>
      <c r="I240" s="5" t="inlineStr"/>
    </row>
    <row r="241">
      <c r="A241" s="5" t="inlineStr">
        <is>
          <t>Vigas</t>
        </is>
      </c>
      <c r="B241" s="5" t="inlineStr">
        <is>
          <t>wk at M = 151.9 (psi2 0.8, SAP) [mm], bars 5Ø20+7Ø20</t>
        </is>
      </c>
      <c r="C241" s="21" t="n">
        <v>0.1802</v>
      </c>
      <c r="D241" s="21" t="n">
        <v>0.1802</v>
      </c>
      <c r="E241" s="22" t="n">
        <v>0.02</v>
      </c>
      <c r="F241" s="12" t="inlineStr">
        <is>
          <t>PASS</t>
        </is>
      </c>
      <c r="G241" s="5" t="inlineStr">
        <is>
          <t>fuerzas SAP (comprobación cruzada)</t>
        </is>
      </c>
      <c r="H241" s="5" t="inlineStr">
        <is>
          <t>validate_codigo K.17 (research, no CYPE print)</t>
        </is>
      </c>
      <c r="I241" s="5" t="inlineStr"/>
    </row>
    <row r="242">
      <c r="A242" s="5" t="inlineStr">
        <is>
          <t>Vigas</t>
        </is>
      </c>
      <c r="B242" s="5" t="inlineStr">
        <is>
          <t>wk at M = Mcr,sag [mm]</t>
        </is>
      </c>
      <c r="C242" s="21" t="n">
        <v>0.1486</v>
      </c>
      <c r="D242" s="21" t="n">
        <v>0.1486</v>
      </c>
      <c r="E242" s="22" t="n">
        <v>-0.03</v>
      </c>
      <c r="F242" s="12" t="inlineStr">
        <is>
          <t>PASS</t>
        </is>
      </c>
      <c r="G242" s="5" t="inlineStr">
        <is>
          <t>datos de CYPE (reproducción exacta)</t>
        </is>
      </c>
      <c r="H242" s="5" t="inlineStr">
        <is>
          <t>validate_codigo K.18</t>
        </is>
      </c>
      <c r="I242" s="5" t="inlineStr"/>
    </row>
    <row r="243">
      <c r="A243" s="5" t="inlineStr">
        <is>
          <t>Vigas</t>
        </is>
      </c>
      <c r="B243" s="5" t="inlineStr">
        <is>
          <t>Pórtico 3 'Área Sup. Nec.' node M = -318.8 [cm2]</t>
        </is>
      </c>
      <c r="C243" s="21" t="n">
        <v>15.9767</v>
      </c>
      <c r="D243" s="21" t="n">
        <v>15.98</v>
      </c>
      <c r="E243" s="22" t="n">
        <v>-0.02</v>
      </c>
      <c r="F243" s="12" t="inlineStr">
        <is>
          <t>PASS</t>
        </is>
      </c>
      <c r="G243" s="5" t="inlineStr">
        <is>
          <t>datos de CYPE (reproducción exacta)</t>
        </is>
      </c>
      <c r="H243" s="5" t="inlineStr">
        <is>
          <t>P1614 table: column 'Tramo: P1-P2' zone 1/3L</t>
        </is>
      </c>
      <c r="I243" s="5" t="inlineStr"/>
    </row>
    <row r="244">
      <c r="A244" s="5" t="inlineStr">
        <is>
          <t>Vigas</t>
        </is>
      </c>
      <c r="B244" s="5" t="inlineStr">
        <is>
          <t>Pórtico 3 'Área Inf. Nec.' M = 275.15 [cm2]</t>
        </is>
      </c>
      <c r="C244" s="21" t="n">
        <v>13.7992</v>
      </c>
      <c r="D244" s="21" t="n">
        <v>13.8</v>
      </c>
      <c r="E244" s="22" t="n">
        <v>-0.01</v>
      </c>
      <c r="F244" s="12" t="inlineStr">
        <is>
          <t>PASS</t>
        </is>
      </c>
      <c r="G244" s="5" t="inlineStr">
        <is>
          <t>datos de CYPE (reproducción exacta)</t>
        </is>
      </c>
      <c r="H244" s="5" t="inlineStr">
        <is>
          <t>P1614 table: column 'Tramo: P1-P2' zone 3/3L</t>
        </is>
      </c>
      <c r="I244" s="5" t="inlineStr"/>
    </row>
    <row r="245">
      <c r="A245" s="5" t="inlineStr">
        <is>
          <t>Vigas</t>
        </is>
      </c>
      <c r="B245" s="5" t="inlineStr">
        <is>
          <t>Pórtico 3 §4.3 N,M eta at the node (M = -318.8) [%]</t>
        </is>
      </c>
      <c r="C245" s="21" t="n">
        <v>93.2488</v>
      </c>
      <c r="D245" s="21" t="n">
        <v>93.40000000000001</v>
      </c>
      <c r="E245" s="22" t="n">
        <v>-0.16</v>
      </c>
      <c r="F245" s="12" t="inlineStr">
        <is>
          <t>PASS</t>
        </is>
      </c>
      <c r="G245" s="5" t="inlineStr">
        <is>
          <t>datos de CYPE (reproducción exacta)</t>
        </is>
      </c>
      <c r="H245" s="5" t="inlineStr">
        <is>
          <t>P1813 table: P1 - P2 N,M</t>
        </is>
      </c>
      <c r="I245" s="5" t="inlineStr">
        <is>
          <t>calibrates the end-frame bars at 235 mm (Ø20 active, 2Ø10 inactive)</t>
        </is>
      </c>
    </row>
    <row r="246">
      <c r="A246" s="5" t="inlineStr">
        <is>
          <t>Vigas</t>
        </is>
      </c>
      <c r="B246" s="5" t="inlineStr">
        <is>
          <t>Pórtico 9 'Área Sup. Nec.' node M = -291.23 [cm2]</t>
        </is>
      </c>
      <c r="C246" s="21" t="n">
        <v>14.5583</v>
      </c>
      <c r="D246" s="21" t="n">
        <v>14.56</v>
      </c>
      <c r="E246" s="22" t="n">
        <v>-0.01</v>
      </c>
      <c r="F246" s="12" t="inlineStr">
        <is>
          <t>PASS</t>
        </is>
      </c>
      <c r="G246" s="5" t="inlineStr">
        <is>
          <t>datos de CYPE (reproducción exacta)</t>
        </is>
      </c>
      <c r="H246" s="5" t="inlineStr">
        <is>
          <t>P1650 table: column 'Tramo: P16-P18' zone 1/3L</t>
        </is>
      </c>
      <c r="I246" s="5" t="inlineStr"/>
    </row>
    <row r="247">
      <c r="A247" s="5" t="inlineStr">
        <is>
          <t>Vigas</t>
        </is>
      </c>
      <c r="B247" s="5" t="inlineStr">
        <is>
          <t>Pórtico 9 'Área Inf. Nec.' M = 247.61 [cm2]</t>
        </is>
      </c>
      <c r="C247" s="21" t="n">
        <v>12.381</v>
      </c>
      <c r="D247" s="21" t="n">
        <v>12.38</v>
      </c>
      <c r="E247" s="22" t="n">
        <v>0.01</v>
      </c>
      <c r="F247" s="12" t="inlineStr">
        <is>
          <t>PASS</t>
        </is>
      </c>
      <c r="G247" s="5" t="inlineStr">
        <is>
          <t>datos de CYPE (reproducción exacta)</t>
        </is>
      </c>
      <c r="H247" s="5" t="inlineStr">
        <is>
          <t>P1650 table: column 'Tramo: P16-P18' zone 3/3L</t>
        </is>
      </c>
      <c r="I247" s="5" t="inlineStr"/>
    </row>
    <row r="248">
      <c r="A248" s="5" t="inlineStr">
        <is>
          <t>Vigas</t>
        </is>
      </c>
      <c r="B248" s="5" t="inlineStr">
        <is>
          <t>Pórtico 9 §4.3 N,M eta at the node (M = -291.23) [%]</t>
        </is>
      </c>
      <c r="C248" s="21" t="n">
        <v>85.1846</v>
      </c>
      <c r="D248" s="21" t="n">
        <v>85.40000000000001</v>
      </c>
      <c r="E248" s="22" t="n">
        <v>-0.25</v>
      </c>
      <c r="F248" s="12" t="inlineStr">
        <is>
          <t>PASS</t>
        </is>
      </c>
      <c r="G248" s="5" t="inlineStr">
        <is>
          <t>datos de CYPE (reproducción exacta)</t>
        </is>
      </c>
      <c r="H248" s="5" t="inlineStr">
        <is>
          <t>P1813 table: P16 - P18 N,M</t>
        </is>
      </c>
      <c r="I248" s="5" t="inlineStr">
        <is>
          <t>calibrates the end-frame bars at 235 mm (Ø20 active, 2Ø10 inactive)</t>
        </is>
      </c>
    </row>
    <row r="249">
      <c r="A249" s="5" t="inlineStr">
        <is>
          <t>Vigas</t>
        </is>
      </c>
      <c r="B249" s="5" t="inlineStr">
        <is>
          <t>Pórtico 3 P9-P1 Tc = T/TRd,max (T = 25.79, nu 0.6) [%]</t>
        </is>
      </c>
      <c r="C249" s="21" t="n">
        <v>4.5848</v>
      </c>
      <c r="D249" s="21" t="n">
        <v>4.6</v>
      </c>
      <c r="E249" s="22" t="n">
        <v>-0.33</v>
      </c>
      <c r="F249" s="12" t="inlineStr">
        <is>
          <t>PASS</t>
        </is>
      </c>
      <c r="G249" s="5" t="inlineStr">
        <is>
          <t>datos de CYPE (reproducción exacta)</t>
        </is>
      </c>
      <c r="H249" s="5" t="inlineStr">
        <is>
          <t>P1813 table P9 - P1 Tc</t>
        </is>
      </c>
      <c r="I249" s="5" t="inlineStr"/>
    </row>
    <row r="250">
      <c r="A250" s="5" t="inlineStr">
        <is>
          <t>Vigas</t>
        </is>
      </c>
      <c r="B250" s="5" t="inlineStr">
        <is>
          <t>Pórtico 3 P1-P2 Tc (T = 27.43) [%]</t>
        </is>
      </c>
      <c r="C250" s="21" t="n">
        <v>4.8763</v>
      </c>
      <c r="D250" s="21" t="n">
        <v>4.9</v>
      </c>
      <c r="E250" s="22" t="n">
        <v>-0.48</v>
      </c>
      <c r="F250" s="12" t="inlineStr">
        <is>
          <t>PASS</t>
        </is>
      </c>
      <c r="G250" s="5" t="inlineStr">
        <is>
          <t>datos de CYPE (reproducción exacta)</t>
        </is>
      </c>
      <c r="H250" s="5" t="inlineStr">
        <is>
          <t>P1813 table P1 - P2 Tc</t>
        </is>
      </c>
      <c r="I250" s="5" t="inlineStr"/>
    </row>
    <row r="251">
      <c r="A251" s="5" t="inlineStr">
        <is>
          <t>Vigas</t>
        </is>
      </c>
      <c r="B251" s="5" t="inlineStr">
        <is>
          <t>Pórtico 3 P9-P1 Tst = (T/(2 Ak fyd))/(Ø10/100) [%]</t>
        </is>
      </c>
      <c r="C251" s="21" t="n">
        <v>15.3159</v>
      </c>
      <c r="D251" s="21" t="n">
        <v>15.3</v>
      </c>
      <c r="E251" s="22" t="n">
        <v>0.1</v>
      </c>
      <c r="F251" s="12" t="inlineStr">
        <is>
          <t>PASS</t>
        </is>
      </c>
      <c r="G251" s="5" t="inlineStr">
        <is>
          <t>datos de CYPE (reproducción exacta)</t>
        </is>
      </c>
      <c r="H251" s="5" t="inlineStr">
        <is>
          <t>P1813 table P9 - P1 Tst</t>
        </is>
      </c>
      <c r="I251" s="5" t="inlineStr"/>
    </row>
    <row r="252">
      <c r="A252" s="5" t="inlineStr">
        <is>
          <t>Vigas</t>
        </is>
      </c>
      <c r="B252" s="5" t="inlineStr">
        <is>
          <t>Pórtico 3 P9-P1 'Área Transv. Nec.' 1/3L = V/(z fywd) + 2 T/(2 Ak fyd) [cm2/m]</t>
        </is>
      </c>
      <c r="C252" s="21" t="n">
        <v>8.2814</v>
      </c>
      <c r="D252" s="21" t="n">
        <v>8.279999999999999</v>
      </c>
      <c r="E252" s="22" t="n">
        <v>0.02</v>
      </c>
      <c r="F252" s="12" t="inlineStr">
        <is>
          <t>PASS</t>
        </is>
      </c>
      <c r="G252" s="5" t="inlineStr">
        <is>
          <t>datos de CYPE (reproducción exacta)</t>
        </is>
      </c>
      <c r="H252" s="5" t="inlineStr">
        <is>
          <t>listing P1614 table</t>
        </is>
      </c>
      <c r="I252" s="5" t="inlineStr"/>
    </row>
    <row r="253">
      <c r="A253" s="5" t="inlineStr">
        <is>
          <t>Vigas</t>
        </is>
      </c>
      <c r="B253" s="5" t="inlineStr">
        <is>
          <t>Pórtico 3 P9-P1 TRd,max with nu = 0.6(1 - fck/250) (CE) [kN·m]</t>
        </is>
      </c>
      <c r="C253" s="21" t="n">
        <v>483.763</v>
      </c>
      <c r="D253" s="21" t="n">
        <v>562.5151</v>
      </c>
      <c r="E253" s="22" t="n">
        <v>-14</v>
      </c>
      <c r="F253" s="26" t="inlineStr">
        <is>
          <t>INFO</t>
        </is>
      </c>
      <c r="G253" s="5" t="inlineStr">
        <is>
          <t>datos de CYPE (reproducción exacta)</t>
        </is>
      </c>
      <c r="H253" s="5" t="inlineStr">
        <is>
          <t>A19.6.3.2(4)</t>
        </is>
      </c>
      <c r="I253" s="5" t="inlineStr">
        <is>
          <t>code-strict nu = 0.516: TRd,max -14 %</t>
        </is>
      </c>
    </row>
    <row r="254">
      <c r="A254" s="5" t="inlineStr">
        <is>
          <t>Vigas</t>
        </is>
      </c>
      <c r="B254" s="5" t="inlineStr">
        <is>
          <t>VT1 As_top_real (Área Real)</t>
        </is>
      </c>
      <c r="C254" s="21" t="n">
        <v>15.71</v>
      </c>
      <c r="D254" s="21" t="n">
        <v>15.71</v>
      </c>
      <c r="E254" s="22" t="n">
        <v>0</v>
      </c>
      <c r="F254" s="12" t="inlineStr">
        <is>
          <t>PASS</t>
        </is>
      </c>
      <c r="G254" s="5" t="inlineStr">
        <is>
          <t>datos de CYPE (reproducción exacta)</t>
        </is>
      </c>
      <c r="H254" s="5" t="inlineStr">
        <is>
          <t>P1614 table: column 'Tramo: P1-P2' zone 3/3L</t>
        </is>
      </c>
      <c r="I254" s="5" t="inlineStr"/>
    </row>
    <row r="255">
      <c r="A255" s="5" t="inlineStr">
        <is>
          <t>Vigas</t>
        </is>
      </c>
      <c r="B255" s="5" t="inlineStr">
        <is>
          <t>VT1 As_bot_real (Área Real)</t>
        </is>
      </c>
      <c r="C255" s="21" t="n">
        <v>18.85</v>
      </c>
      <c r="D255" s="21" t="n">
        <v>18.85</v>
      </c>
      <c r="E255" s="22" t="n">
        <v>0</v>
      </c>
      <c r="F255" s="12" t="inlineStr">
        <is>
          <t>PASS</t>
        </is>
      </c>
      <c r="G255" s="5" t="inlineStr">
        <is>
          <t>datos de CYPE (reproducción exacta)</t>
        </is>
      </c>
      <c r="H255" s="5" t="inlineStr">
        <is>
          <t>P1614 table: column 'Tramo: P1-P2' zone 3/3L</t>
        </is>
      </c>
      <c r="I255" s="5" t="inlineStr"/>
    </row>
    <row r="256">
      <c r="A256" s="5" t="inlineStr">
        <is>
          <t>Vigas</t>
        </is>
      </c>
      <c r="B256" s="5" t="inlineStr">
        <is>
          <t>VT1 Asw_per_m_real (Área Real)</t>
        </is>
      </c>
      <c r="C256" s="21" t="n">
        <v>23.56</v>
      </c>
      <c r="D256" s="21" t="n">
        <v>23.56</v>
      </c>
      <c r="E256" s="22" t="n">
        <v>0</v>
      </c>
      <c r="F256" s="12" t="inlineStr">
        <is>
          <t>PASS</t>
        </is>
      </c>
      <c r="G256" s="5" t="inlineStr">
        <is>
          <t>datos de CYPE (reproducción exacta)</t>
        </is>
      </c>
      <c r="H256" s="5" t="inlineStr">
        <is>
          <t>P1614 table: column 'Tramo: P1-P2' zone 3/3L</t>
        </is>
      </c>
      <c r="I256" s="5" t="inlineStr"/>
    </row>
    <row r="257">
      <c r="A257" s="5" t="inlineStr">
        <is>
          <t>Vigas</t>
        </is>
      </c>
      <c r="B257" s="5" t="inlineStr">
        <is>
          <t>VT2 As_top_real (Área Real)</t>
        </is>
      </c>
      <c r="C257" s="21" t="n">
        <v>15.71</v>
      </c>
      <c r="D257" s="21" t="n">
        <v>15.71</v>
      </c>
      <c r="E257" s="22" t="n">
        <v>0</v>
      </c>
      <c r="F257" s="12" t="inlineStr">
        <is>
          <t>PASS</t>
        </is>
      </c>
      <c r="G257" s="5" t="inlineStr">
        <is>
          <t>datos de CYPE (reproducción exacta)</t>
        </is>
      </c>
      <c r="H257" s="5" t="inlineStr">
        <is>
          <t>P1620 table: column 'Tramo: P3-P4' zone 3/3L</t>
        </is>
      </c>
      <c r="I257" s="5" t="inlineStr"/>
    </row>
    <row r="258">
      <c r="A258" s="5" t="inlineStr">
        <is>
          <t>Vigas</t>
        </is>
      </c>
      <c r="B258" s="5" t="inlineStr">
        <is>
          <t>VT2 As_bot_real (Área Real)</t>
        </is>
      </c>
      <c r="C258" s="21" t="n">
        <v>21.99</v>
      </c>
      <c r="D258" s="21" t="n">
        <v>21.99</v>
      </c>
      <c r="E258" s="22" t="n">
        <v>0</v>
      </c>
      <c r="F258" s="12" t="inlineStr">
        <is>
          <t>PASS</t>
        </is>
      </c>
      <c r="G258" s="5" t="inlineStr">
        <is>
          <t>datos de CYPE (reproducción exacta)</t>
        </is>
      </c>
      <c r="H258" s="5" t="inlineStr">
        <is>
          <t>P1620 table: column 'Tramo: P3-P4' zone 3/3L</t>
        </is>
      </c>
      <c r="I258" s="5" t="inlineStr"/>
    </row>
    <row r="259">
      <c r="A259" s="5" t="inlineStr">
        <is>
          <t>Vigas</t>
        </is>
      </c>
      <c r="B259" s="5" t="inlineStr">
        <is>
          <t>VT2 Asw_per_m_real (Área Real)</t>
        </is>
      </c>
      <c r="C259" s="21" t="n">
        <v>23.56</v>
      </c>
      <c r="D259" s="21" t="n">
        <v>23.56</v>
      </c>
      <c r="E259" s="22" t="n">
        <v>0</v>
      </c>
      <c r="F259" s="12" t="inlineStr">
        <is>
          <t>PASS</t>
        </is>
      </c>
      <c r="G259" s="5" t="inlineStr">
        <is>
          <t>datos de CYPE (reproducción exacta)</t>
        </is>
      </c>
      <c r="H259" s="5" t="inlineStr">
        <is>
          <t>P1620 table: column 'Tramo: P3-P4' zone 3/3L</t>
        </is>
      </c>
      <c r="I259" s="5" t="inlineStr"/>
    </row>
    <row r="260">
      <c r="A260" s="5" t="inlineStr">
        <is>
          <t>Vigas</t>
        </is>
      </c>
      <c r="B260" s="5" t="inlineStr">
        <is>
          <t>VT3 As_top_real (Área Real)</t>
        </is>
      </c>
      <c r="C260" s="21" t="n">
        <v>15.71</v>
      </c>
      <c r="D260" s="21" t="n">
        <v>15.71</v>
      </c>
      <c r="E260" s="22" t="n">
        <v>0</v>
      </c>
      <c r="F260" s="12" t="inlineStr">
        <is>
          <t>PASS</t>
        </is>
      </c>
      <c r="G260" s="5" t="inlineStr">
        <is>
          <t>datos de CYPE (reproducción exacta)</t>
        </is>
      </c>
      <c r="H260" s="5" t="inlineStr">
        <is>
          <t>P1626 table: column 'Tramo: P5-P6' zone 3/3L</t>
        </is>
      </c>
      <c r="I260" s="5" t="inlineStr"/>
    </row>
    <row r="261">
      <c r="A261" s="5" t="inlineStr">
        <is>
          <t>Vigas</t>
        </is>
      </c>
      <c r="B261" s="5" t="inlineStr">
        <is>
          <t>VT3 As_bot_real (Área Real)</t>
        </is>
      </c>
      <c r="C261" s="21" t="n">
        <v>21.99</v>
      </c>
      <c r="D261" s="21" t="n">
        <v>21.99</v>
      </c>
      <c r="E261" s="22" t="n">
        <v>0</v>
      </c>
      <c r="F261" s="12" t="inlineStr">
        <is>
          <t>PASS</t>
        </is>
      </c>
      <c r="G261" s="5" t="inlineStr">
        <is>
          <t>datos de CYPE (reproducción exacta)</t>
        </is>
      </c>
      <c r="H261" s="5" t="inlineStr">
        <is>
          <t>P1626 table: column 'Tramo: P5-P6' zone 3/3L</t>
        </is>
      </c>
      <c r="I261" s="5" t="inlineStr"/>
    </row>
    <row r="262">
      <c r="A262" s="5" t="inlineStr">
        <is>
          <t>Vigas</t>
        </is>
      </c>
      <c r="B262" s="5" t="inlineStr">
        <is>
          <t>VT3 Asw_per_m_real (Área Real)</t>
        </is>
      </c>
      <c r="C262" s="21" t="n">
        <v>23.56</v>
      </c>
      <c r="D262" s="21" t="n">
        <v>23.56</v>
      </c>
      <c r="E262" s="22" t="n">
        <v>0</v>
      </c>
      <c r="F262" s="12" t="inlineStr">
        <is>
          <t>PASS</t>
        </is>
      </c>
      <c r="G262" s="5" t="inlineStr">
        <is>
          <t>datos de CYPE (reproducción exacta)</t>
        </is>
      </c>
      <c r="H262" s="5" t="inlineStr">
        <is>
          <t>P1626 table: column 'Tramo: P5-P6' zone 3/3L</t>
        </is>
      </c>
      <c r="I262" s="5" t="inlineStr"/>
    </row>
    <row r="263">
      <c r="A263" s="5" t="inlineStr">
        <is>
          <t>Vigas</t>
        </is>
      </c>
      <c r="B263" s="5" t="inlineStr">
        <is>
          <t>VT4 As_top_real (Área Real)</t>
        </is>
      </c>
      <c r="C263" s="21" t="n">
        <v>15.71</v>
      </c>
      <c r="D263" s="21" t="n">
        <v>15.71</v>
      </c>
      <c r="E263" s="22" t="n">
        <v>0</v>
      </c>
      <c r="F263" s="12" t="inlineStr">
        <is>
          <t>PASS</t>
        </is>
      </c>
      <c r="G263" s="5" t="inlineStr">
        <is>
          <t>datos de CYPE (reproducción exacta)</t>
        </is>
      </c>
      <c r="H263" s="5" t="inlineStr">
        <is>
          <t>P1632 table: column 'Tramo: P7-P8' zone 3/3L</t>
        </is>
      </c>
      <c r="I263" s="5" t="inlineStr"/>
    </row>
    <row r="264">
      <c r="A264" s="5" t="inlineStr">
        <is>
          <t>Vigas</t>
        </is>
      </c>
      <c r="B264" s="5" t="inlineStr">
        <is>
          <t>VT4 As_bot_real (Área Real)</t>
        </is>
      </c>
      <c r="C264" s="21" t="n">
        <v>21.99</v>
      </c>
      <c r="D264" s="21" t="n">
        <v>21.99</v>
      </c>
      <c r="E264" s="22" t="n">
        <v>0</v>
      </c>
      <c r="F264" s="12" t="inlineStr">
        <is>
          <t>PASS</t>
        </is>
      </c>
      <c r="G264" s="5" t="inlineStr">
        <is>
          <t>datos de CYPE (reproducción exacta)</t>
        </is>
      </c>
      <c r="H264" s="5" t="inlineStr">
        <is>
          <t>P1632 table: column 'Tramo: P7-P8' zone 3/3L</t>
        </is>
      </c>
      <c r="I264" s="5" t="inlineStr"/>
    </row>
    <row r="265">
      <c r="A265" s="5" t="inlineStr">
        <is>
          <t>Vigas</t>
        </is>
      </c>
      <c r="B265" s="5" t="inlineStr">
        <is>
          <t>VT4 Asw_per_m_real (Área Real)</t>
        </is>
      </c>
      <c r="C265" s="21" t="n">
        <v>23.56</v>
      </c>
      <c r="D265" s="21" t="n">
        <v>23.56</v>
      </c>
      <c r="E265" s="22" t="n">
        <v>0</v>
      </c>
      <c r="F265" s="12" t="inlineStr">
        <is>
          <t>PASS</t>
        </is>
      </c>
      <c r="G265" s="5" t="inlineStr">
        <is>
          <t>datos de CYPE (reproducción exacta)</t>
        </is>
      </c>
      <c r="H265" s="5" t="inlineStr">
        <is>
          <t>P1632 table: column 'Tramo: P7-P8' zone 3/3L</t>
        </is>
      </c>
      <c r="I265" s="5" t="inlineStr"/>
    </row>
    <row r="266">
      <c r="A266" s="5" t="inlineStr">
        <is>
          <t>Vigas</t>
        </is>
      </c>
      <c r="B266" s="5" t="inlineStr">
        <is>
          <t>VT5 As_top_real (Área Real)</t>
        </is>
      </c>
      <c r="C266" s="21" t="n">
        <v>15.71</v>
      </c>
      <c r="D266" s="21" t="n">
        <v>15.71</v>
      </c>
      <c r="E266" s="22" t="n">
        <v>0</v>
      </c>
      <c r="F266" s="12" t="inlineStr">
        <is>
          <t>PASS</t>
        </is>
      </c>
      <c r="G266" s="5" t="inlineStr">
        <is>
          <t>datos de CYPE (reproducción exacta)</t>
        </is>
      </c>
      <c r="H266" s="5" t="inlineStr">
        <is>
          <t>P1638 table: column 'Tramo: P13-P14' zone 3/3L</t>
        </is>
      </c>
      <c r="I266" s="5" t="inlineStr"/>
    </row>
    <row r="267">
      <c r="A267" s="5" t="inlineStr">
        <is>
          <t>Vigas</t>
        </is>
      </c>
      <c r="B267" s="5" t="inlineStr">
        <is>
          <t>VT5 As_bot_real (Área Real)</t>
        </is>
      </c>
      <c r="C267" s="21" t="n">
        <v>21.99</v>
      </c>
      <c r="D267" s="21" t="n">
        <v>21.99</v>
      </c>
      <c r="E267" s="22" t="n">
        <v>0</v>
      </c>
      <c r="F267" s="12" t="inlineStr">
        <is>
          <t>PASS</t>
        </is>
      </c>
      <c r="G267" s="5" t="inlineStr">
        <is>
          <t>datos de CYPE (reproducción exacta)</t>
        </is>
      </c>
      <c r="H267" s="5" t="inlineStr">
        <is>
          <t>P1638 table: column 'Tramo: P13-P14' zone 3/3L</t>
        </is>
      </c>
      <c r="I267" s="5" t="inlineStr"/>
    </row>
    <row r="268">
      <c r="A268" s="5" t="inlineStr">
        <is>
          <t>Vigas</t>
        </is>
      </c>
      <c r="B268" s="5" t="inlineStr">
        <is>
          <t>VT5 Asw_per_m_real (Área Real)</t>
        </is>
      </c>
      <c r="C268" s="21" t="n">
        <v>23.56</v>
      </c>
      <c r="D268" s="21" t="n">
        <v>23.56</v>
      </c>
      <c r="E268" s="22" t="n">
        <v>0</v>
      </c>
      <c r="F268" s="12" t="inlineStr">
        <is>
          <t>PASS</t>
        </is>
      </c>
      <c r="G268" s="5" t="inlineStr">
        <is>
          <t>datos de CYPE (reproducción exacta)</t>
        </is>
      </c>
      <c r="H268" s="5" t="inlineStr">
        <is>
          <t>P1638 table: column 'Tramo: P13-P14' zone 3/3L</t>
        </is>
      </c>
      <c r="I268" s="5" t="inlineStr"/>
    </row>
    <row r="269">
      <c r="A269" s="5" t="inlineStr">
        <is>
          <t>Vigas</t>
        </is>
      </c>
      <c r="B269" s="5" t="inlineStr">
        <is>
          <t>VT6 As_top_real (Área Real)</t>
        </is>
      </c>
      <c r="C269" s="21" t="n">
        <v>15.71</v>
      </c>
      <c r="D269" s="21" t="n">
        <v>15.71</v>
      </c>
      <c r="E269" s="22" t="n">
        <v>0</v>
      </c>
      <c r="F269" s="12" t="inlineStr">
        <is>
          <t>PASS</t>
        </is>
      </c>
      <c r="G269" s="5" t="inlineStr">
        <is>
          <t>datos de CYPE (reproducción exacta)</t>
        </is>
      </c>
      <c r="H269" s="5" t="inlineStr">
        <is>
          <t>P1644 table: column 'Tramo: P15-P17' zone 3/3L</t>
        </is>
      </c>
      <c r="I269" s="5" t="inlineStr"/>
    </row>
    <row r="270">
      <c r="A270" s="5" t="inlineStr">
        <is>
          <t>Vigas</t>
        </is>
      </c>
      <c r="B270" s="5" t="inlineStr">
        <is>
          <t>VT6 As_bot_real (Área Real)</t>
        </is>
      </c>
      <c r="C270" s="21" t="n">
        <v>21.99</v>
      </c>
      <c r="D270" s="21" t="n">
        <v>21.99</v>
      </c>
      <c r="E270" s="22" t="n">
        <v>0</v>
      </c>
      <c r="F270" s="12" t="inlineStr">
        <is>
          <t>PASS</t>
        </is>
      </c>
      <c r="G270" s="5" t="inlineStr">
        <is>
          <t>datos de CYPE (reproducción exacta)</t>
        </is>
      </c>
      <c r="H270" s="5" t="inlineStr">
        <is>
          <t>P1644 table: column 'Tramo: P15-P17' zone 3/3L</t>
        </is>
      </c>
      <c r="I270" s="5" t="inlineStr"/>
    </row>
    <row r="271">
      <c r="A271" s="5" t="inlineStr">
        <is>
          <t>Vigas</t>
        </is>
      </c>
      <c r="B271" s="5" t="inlineStr">
        <is>
          <t>VT6 Asw_per_m_real (Área Real)</t>
        </is>
      </c>
      <c r="C271" s="21" t="n">
        <v>23.56</v>
      </c>
      <c r="D271" s="21" t="n">
        <v>23.56</v>
      </c>
      <c r="E271" s="22" t="n">
        <v>0</v>
      </c>
      <c r="F271" s="12" t="inlineStr">
        <is>
          <t>PASS</t>
        </is>
      </c>
      <c r="G271" s="5" t="inlineStr">
        <is>
          <t>datos de CYPE (reproducción exacta)</t>
        </is>
      </c>
      <c r="H271" s="5" t="inlineStr">
        <is>
          <t>P1644 table: column 'Tramo: P15-P17' zone 3/3L</t>
        </is>
      </c>
      <c r="I271" s="5" t="inlineStr"/>
    </row>
    <row r="272">
      <c r="A272" s="5" t="inlineStr">
        <is>
          <t>Vigas</t>
        </is>
      </c>
      <c r="B272" s="5" t="inlineStr">
        <is>
          <t>VT7 As_top_real (Área Real)</t>
        </is>
      </c>
      <c r="C272" s="21" t="n">
        <v>15.71</v>
      </c>
      <c r="D272" s="21" t="n">
        <v>15.71</v>
      </c>
      <c r="E272" s="22" t="n">
        <v>0</v>
      </c>
      <c r="F272" s="12" t="inlineStr">
        <is>
          <t>PASS</t>
        </is>
      </c>
      <c r="G272" s="5" t="inlineStr">
        <is>
          <t>datos de CYPE (reproducción exacta)</t>
        </is>
      </c>
      <c r="H272" s="5" t="inlineStr">
        <is>
          <t>P1650 table: column 'Tramo: P16-P18' zone 3/3L</t>
        </is>
      </c>
      <c r="I272" s="5" t="inlineStr"/>
    </row>
    <row r="273">
      <c r="A273" s="5" t="inlineStr">
        <is>
          <t>Vigas</t>
        </is>
      </c>
      <c r="B273" s="5" t="inlineStr">
        <is>
          <t>VT7 As_bot_real (Área Real)</t>
        </is>
      </c>
      <c r="C273" s="21" t="n">
        <v>18.85</v>
      </c>
      <c r="D273" s="21" t="n">
        <v>18.85</v>
      </c>
      <c r="E273" s="22" t="n">
        <v>0</v>
      </c>
      <c r="F273" s="12" t="inlineStr">
        <is>
          <t>PASS</t>
        </is>
      </c>
      <c r="G273" s="5" t="inlineStr">
        <is>
          <t>datos de CYPE (reproducción exacta)</t>
        </is>
      </c>
      <c r="H273" s="5" t="inlineStr">
        <is>
          <t>P1650 table: column 'Tramo: P16-P18' zone 3/3L</t>
        </is>
      </c>
      <c r="I273" s="5" t="inlineStr"/>
    </row>
    <row r="274">
      <c r="A274" s="5" t="inlineStr">
        <is>
          <t>Vigas</t>
        </is>
      </c>
      <c r="B274" s="5" t="inlineStr">
        <is>
          <t>VT7 Asw_per_m_real (Área Real)</t>
        </is>
      </c>
      <c r="C274" s="21" t="n">
        <v>23.56</v>
      </c>
      <c r="D274" s="21" t="n">
        <v>23.56</v>
      </c>
      <c r="E274" s="22" t="n">
        <v>0</v>
      </c>
      <c r="F274" s="12" t="inlineStr">
        <is>
          <t>PASS</t>
        </is>
      </c>
      <c r="G274" s="5" t="inlineStr">
        <is>
          <t>datos de CYPE (reproducción exacta)</t>
        </is>
      </c>
      <c r="H274" s="5" t="inlineStr">
        <is>
          <t>P1650 table: column 'Tramo: P16-P18' zone 3/3L</t>
        </is>
      </c>
      <c r="I274" s="5" t="inlineStr"/>
    </row>
    <row r="275">
      <c r="A275" s="5" t="inlineStr">
        <is>
          <t>Vigas</t>
        </is>
      </c>
      <c r="B275" s="5" t="inlineStr">
        <is>
          <t>VBM As_top_real (Área Real)</t>
        </is>
      </c>
      <c r="C275" s="21" t="n">
        <v>4.02</v>
      </c>
      <c r="D275" s="21" t="n">
        <v>4.02</v>
      </c>
      <c r="E275" s="22" t="n">
        <v>0</v>
      </c>
      <c r="F275" s="12" t="inlineStr">
        <is>
          <t>PASS</t>
        </is>
      </c>
      <c r="G275" s="5" t="inlineStr">
        <is>
          <t>datos de CYPE (reproducción exacta)</t>
        </is>
      </c>
      <c r="H275" s="5" t="inlineStr">
        <is>
          <t>P1608 table: column 'Tramo: P9-P20' zone 1/3L</t>
        </is>
      </c>
      <c r="I275" s="5" t="inlineStr"/>
    </row>
    <row r="276">
      <c r="A276" s="5" t="inlineStr">
        <is>
          <t>Vigas</t>
        </is>
      </c>
      <c r="B276" s="5" t="inlineStr">
        <is>
          <t>VBM As_bot_real (Área Real)</t>
        </is>
      </c>
      <c r="C276" s="21" t="n">
        <v>4.02</v>
      </c>
      <c r="D276" s="21" t="n">
        <v>4.02</v>
      </c>
      <c r="E276" s="22" t="n">
        <v>0</v>
      </c>
      <c r="F276" s="12" t="inlineStr">
        <is>
          <t>PASS</t>
        </is>
      </c>
      <c r="G276" s="5" t="inlineStr">
        <is>
          <t>datos de CYPE (reproducción exacta)</t>
        </is>
      </c>
      <c r="H276" s="5" t="inlineStr">
        <is>
          <t>P1608 table: column 'Tramo: P9-P20' zone 1/3L</t>
        </is>
      </c>
      <c r="I276" s="5" t="inlineStr"/>
    </row>
    <row r="277">
      <c r="A277" s="5" t="inlineStr">
        <is>
          <t>Vigas</t>
        </is>
      </c>
      <c r="B277" s="5" t="inlineStr">
        <is>
          <t>VBM Asw_per_m_real (Área Real)</t>
        </is>
      </c>
      <c r="C277" s="21" t="n">
        <v>6.7</v>
      </c>
      <c r="D277" s="21" t="n">
        <v>6.7</v>
      </c>
      <c r="E277" s="22" t="n">
        <v>0</v>
      </c>
      <c r="F277" s="12" t="inlineStr">
        <is>
          <t>PASS</t>
        </is>
      </c>
      <c r="G277" s="5" t="inlineStr">
        <is>
          <t>datos de CYPE (reproducción exacta)</t>
        </is>
      </c>
      <c r="H277" s="5" t="inlineStr">
        <is>
          <t>P1608 table: column 'Tramo: P9-P20' zone 1/3L</t>
        </is>
      </c>
      <c r="I277" s="5" t="inlineStr"/>
    </row>
    <row r="278">
      <c r="A278" s="5" t="inlineStr">
        <is>
          <t>Vigas</t>
        </is>
      </c>
      <c r="B278" s="5" t="inlineStr">
        <is>
          <t>VBT As_top_real (Área Real)</t>
        </is>
      </c>
      <c r="C278" s="21" t="n">
        <v>4.02</v>
      </c>
      <c r="D278" s="21" t="n">
        <v>4.02</v>
      </c>
      <c r="E278" s="22" t="n">
        <v>0</v>
      </c>
      <c r="F278" s="12" t="inlineStr">
        <is>
          <t>PASS</t>
        </is>
      </c>
      <c r="G278" s="5" t="inlineStr">
        <is>
          <t>datos de CYPE (reproducción exacta)</t>
        </is>
      </c>
      <c r="H278" s="5" t="inlineStr">
        <is>
          <t>P1656 table: column 'Tramo: P2-P4' zone 1/3L</t>
        </is>
      </c>
      <c r="I278" s="5" t="inlineStr"/>
    </row>
    <row r="279">
      <c r="A279" s="5" t="inlineStr">
        <is>
          <t>Vigas</t>
        </is>
      </c>
      <c r="B279" s="5" t="inlineStr">
        <is>
          <t>VBT As_bot_real (Área Real)</t>
        </is>
      </c>
      <c r="C279" s="21" t="n">
        <v>4.02</v>
      </c>
      <c r="D279" s="21" t="n">
        <v>4.02</v>
      </c>
      <c r="E279" s="22" t="n">
        <v>0</v>
      </c>
      <c r="F279" s="12" t="inlineStr">
        <is>
          <t>PASS</t>
        </is>
      </c>
      <c r="G279" s="5" t="inlineStr">
        <is>
          <t>datos de CYPE (reproducción exacta)</t>
        </is>
      </c>
      <c r="H279" s="5" t="inlineStr">
        <is>
          <t>P1656 table: column 'Tramo: P2-P4' zone 1/3L</t>
        </is>
      </c>
      <c r="I279" s="5" t="inlineStr"/>
    </row>
    <row r="280">
      <c r="A280" s="5" t="inlineStr">
        <is>
          <t>Vigas</t>
        </is>
      </c>
      <c r="B280" s="5" t="inlineStr">
        <is>
          <t>VBT Asw_per_m_real (Área Real)</t>
        </is>
      </c>
      <c r="C280" s="21" t="n">
        <v>6.7</v>
      </c>
      <c r="D280" s="21" t="n">
        <v>6.7</v>
      </c>
      <c r="E280" s="22" t="n">
        <v>0</v>
      </c>
      <c r="F280" s="12" t="inlineStr">
        <is>
          <t>PASS</t>
        </is>
      </c>
      <c r="G280" s="5" t="inlineStr">
        <is>
          <t>datos de CYPE (reproducción exacta)</t>
        </is>
      </c>
      <c r="H280" s="5" t="inlineStr">
        <is>
          <t>P1656 table: column 'Tramo: P2-P4' zone 1/3L</t>
        </is>
      </c>
      <c r="I280" s="5" t="inlineStr"/>
    </row>
    <row r="281">
      <c r="A281" s="5" t="inlineStr">
        <is>
          <t>Vigas</t>
        </is>
      </c>
      <c r="B281" s="5" t="inlineStr">
        <is>
          <t>inner beams M_qp,max sag (psi2 0.3, SAP) [kN·m]</t>
        </is>
      </c>
      <c r="C281" s="21" t="n">
        <v>90.41</v>
      </c>
      <c r="D281" s="21" t="n">
        <v>90.41</v>
      </c>
      <c r="E281" s="22" t="n">
        <v>0</v>
      </c>
      <c r="F281" s="12" t="inlineStr">
        <is>
          <t>PASS</t>
        </is>
      </c>
      <c r="G281" s="5" t="inlineStr">
        <is>
          <t>fuerzas SAP (comprobación cruzada)</t>
        </is>
      </c>
      <c r="H281" s="5" t="inlineStr">
        <is>
          <t>validate_codigo P.01</t>
        </is>
      </c>
      <c r="I281" s="5" t="inlineStr"/>
    </row>
    <row r="282">
      <c r="A282" s="5" t="inlineStr">
        <is>
          <t>Vigas</t>
        </is>
      </c>
      <c r="B282" s="5" t="inlineStr">
        <is>
          <t>inner beams M_qp,max sag (psi2 0.8, SAP) [kN·m]</t>
        </is>
      </c>
      <c r="C282" s="21" t="n">
        <v>151.9</v>
      </c>
      <c r="D282" s="21" t="n">
        <v>151.9</v>
      </c>
      <c r="E282" s="22" t="n">
        <v>0</v>
      </c>
      <c r="F282" s="12" t="inlineStr">
        <is>
          <t>PASS</t>
        </is>
      </c>
      <c r="G282" s="5" t="inlineStr">
        <is>
          <t>fuerzas SAP (comprobación cruzada)</t>
        </is>
      </c>
      <c r="H282" s="5" t="inlineStr">
        <is>
          <t>validate_codigo P.03</t>
        </is>
      </c>
      <c r="I282" s="5" t="inlineStr"/>
    </row>
    <row r="283">
      <c r="A283" s="5" t="inlineStr">
        <is>
          <t>Vigas</t>
        </is>
      </c>
      <c r="B283" s="5" t="inlineStr">
        <is>
          <t>Pórtico 6 (VT4) M_qp,max (psi2 0.3) vs CYPE figure [kN·m]</t>
        </is>
      </c>
      <c r="C283" s="21" t="n">
        <v>83.43000000000001</v>
      </c>
      <c r="D283" s="21" t="n">
        <v>86.66</v>
      </c>
      <c r="E283" s="22" t="n">
        <v>-3.73</v>
      </c>
      <c r="F283" s="26" t="inlineStr">
        <is>
          <t>INFO</t>
        </is>
      </c>
      <c r="G283" s="5" t="inlineStr">
        <is>
          <t>datos de CYPE (reproducción exacta)</t>
        </is>
      </c>
      <c r="H283" s="5" t="inlineStr">
        <is>
          <t>P569 image117 (CYPE)</t>
        </is>
      </c>
      <c r="I283" s="5" t="inlineStr">
        <is>
          <t>SAP vs CYPE model (-3.7 %)</t>
        </is>
      </c>
    </row>
    <row r="284">
      <c r="A284" s="5" t="inlineStr">
        <is>
          <t>Vigas</t>
        </is>
      </c>
      <c r="B284" s="5" t="inlineStr">
        <is>
          <t>psi2,Qa at which the inner beams crack (VT2, fctm)</t>
        </is>
      </c>
      <c r="C284" s="21" t="n">
        <v>0.583</v>
      </c>
      <c r="D284" s="21" t="n">
        <v>0.583</v>
      </c>
      <c r="E284" s="22" t="n">
        <v>0</v>
      </c>
      <c r="F284" s="12" t="inlineStr">
        <is>
          <t>PASS</t>
        </is>
      </c>
      <c r="G284" s="5" t="inlineStr">
        <is>
          <t>datos de CYPE (reproducción exacta)</t>
        </is>
      </c>
      <c r="H284" s="5" t="inlineStr">
        <is>
          <t>validate_codigo P.06</t>
        </is>
      </c>
      <c r="I284" s="5" t="inlineStr">
        <is>
          <t>with 7Ø20 any cracked state fails wk &lt;= 0.1 mm</t>
        </is>
      </c>
    </row>
    <row r="285">
      <c r="A285" s="5" t="inlineStr">
        <is>
          <t>Vigas</t>
        </is>
      </c>
      <c r="B285" s="5" t="inlineStr">
        <is>
          <t>idem with fct,eff = fctm,fl</t>
        </is>
      </c>
      <c r="C285" s="21" t="n">
        <v>0.634</v>
      </c>
      <c r="D285" s="21" t="n">
        <v>0.63</v>
      </c>
      <c r="E285" s="22" t="n">
        <v>0.63</v>
      </c>
      <c r="F285" s="12" t="inlineStr">
        <is>
          <t>PASS</t>
        </is>
      </c>
      <c r="G285" s="5" t="inlineStr">
        <is>
          <t>datos de CYPE (reproducción exacta)</t>
        </is>
      </c>
      <c r="H285" s="5" t="inlineStr">
        <is>
          <t>validate_codigo P.06 note</t>
        </is>
      </c>
      <c r="I285" s="5" t="inlineStr"/>
    </row>
    <row r="286">
      <c r="A286" s="5" t="inlineStr">
        <is>
          <t>Vigas</t>
        </is>
      </c>
      <c r="B286" s="5" t="inlineStr">
        <is>
          <t>VT1 sag sigma_ct/fctm (QP psi2 0.3) &lt; 1 -&gt; 'N.P.(1)'</t>
        </is>
      </c>
      <c r="C286" s="21" t="n">
        <v>0.3057</v>
      </c>
      <c r="D286" s="5" t="n"/>
      <c r="E286" s="5" t="n"/>
      <c r="F286" s="26" t="inlineStr">
        <is>
          <t>INFO</t>
        </is>
      </c>
      <c r="G286" s="5" t="inlineStr">
        <is>
          <t>datos de CYPE (reproducción exacta)</t>
        </is>
      </c>
      <c r="H286" s="5" t="inlineStr">
        <is>
          <t>P1818-P1827 tables (all faces N.P.(1))</t>
        </is>
      </c>
      <c r="I286" s="5" t="inlineStr">
        <is>
          <t>uncracked</t>
        </is>
      </c>
    </row>
    <row r="287">
      <c r="A287" s="5" t="inlineStr">
        <is>
          <t>Vigas</t>
        </is>
      </c>
      <c r="B287" s="5" t="inlineStr">
        <is>
          <t>VT1 hog sigma_ct/fctm (QP psi2 0.3) &lt; 1 -&gt; 'N.P.(1)'</t>
        </is>
      </c>
      <c r="C287" s="21" t="n">
        <v>0.0108</v>
      </c>
      <c r="D287" s="5" t="n"/>
      <c r="E287" s="5" t="n"/>
      <c r="F287" s="26" t="inlineStr">
        <is>
          <t>INFO</t>
        </is>
      </c>
      <c r="G287" s="5" t="inlineStr">
        <is>
          <t>datos de CYPE (reproducción exacta)</t>
        </is>
      </c>
      <c r="H287" s="5" t="inlineStr">
        <is>
          <t>P1818-P1827 tables (all faces N.P.(1))</t>
        </is>
      </c>
      <c r="I287" s="5" t="inlineStr">
        <is>
          <t>uncracked</t>
        </is>
      </c>
    </row>
    <row r="288">
      <c r="A288" s="5" t="inlineStr">
        <is>
          <t>Vigas</t>
        </is>
      </c>
      <c r="B288" s="5" t="inlineStr">
        <is>
          <t>VT2 sag sigma_ct/fctm (QP psi2 0.3) &lt; 1 -&gt; 'N.P.(1)'</t>
        </is>
      </c>
      <c r="C288" s="21" t="n">
        <v>0.722</v>
      </c>
      <c r="D288" s="5" t="n"/>
      <c r="E288" s="5" t="n"/>
      <c r="F288" s="26" t="inlineStr">
        <is>
          <t>INFO</t>
        </is>
      </c>
      <c r="G288" s="5" t="inlineStr">
        <is>
          <t>datos de CYPE (reproducción exacta)</t>
        </is>
      </c>
      <c r="H288" s="5" t="inlineStr">
        <is>
          <t>P1818-P1827 tables (all faces N.P.(1))</t>
        </is>
      </c>
      <c r="I288" s="5" t="inlineStr">
        <is>
          <t>uncracked</t>
        </is>
      </c>
    </row>
    <row r="289">
      <c r="A289" s="5" t="inlineStr">
        <is>
          <t>Vigas</t>
        </is>
      </c>
      <c r="B289" s="5" t="inlineStr">
        <is>
          <t>VT2 hog sigma_ct/fctm (QP psi2 0.3) &lt; 1 -&gt; 'N.P.(1)'</t>
        </is>
      </c>
      <c r="C289" s="21" t="n">
        <v>0.0414</v>
      </c>
      <c r="D289" s="5" t="n"/>
      <c r="E289" s="5" t="n"/>
      <c r="F289" s="26" t="inlineStr">
        <is>
          <t>INFO</t>
        </is>
      </c>
      <c r="G289" s="5" t="inlineStr">
        <is>
          <t>datos de CYPE (reproducción exacta)</t>
        </is>
      </c>
      <c r="H289" s="5" t="inlineStr">
        <is>
          <t>P1818-P1827 tables (all faces N.P.(1))</t>
        </is>
      </c>
      <c r="I289" s="5" t="inlineStr">
        <is>
          <t>uncracked</t>
        </is>
      </c>
    </row>
    <row r="290">
      <c r="A290" s="5" t="inlineStr">
        <is>
          <t>Vigas</t>
        </is>
      </c>
      <c r="B290" s="5" t="inlineStr">
        <is>
          <t>VT3 sag sigma_ct/fctm (QP psi2 0.3) &lt; 1 -&gt; 'N.P.(1)'</t>
        </is>
      </c>
      <c r="C290" s="21" t="n">
        <v>0.6523</v>
      </c>
      <c r="D290" s="5" t="n"/>
      <c r="E290" s="5" t="n"/>
      <c r="F290" s="26" t="inlineStr">
        <is>
          <t>INFO</t>
        </is>
      </c>
      <c r="G290" s="5" t="inlineStr">
        <is>
          <t>datos de CYPE (reproducción exacta)</t>
        </is>
      </c>
      <c r="H290" s="5" t="inlineStr">
        <is>
          <t>P1818-P1827 tables (all faces N.P.(1))</t>
        </is>
      </c>
      <c r="I290" s="5" t="inlineStr">
        <is>
          <t>uncracked</t>
        </is>
      </c>
    </row>
    <row r="291">
      <c r="A291" s="5" t="inlineStr">
        <is>
          <t>Vigas</t>
        </is>
      </c>
      <c r="B291" s="5" t="inlineStr">
        <is>
          <t>VT3 hog sigma_ct/fctm (QP psi2 0.3) &lt; 1 -&gt; 'N.P.(1)'</t>
        </is>
      </c>
      <c r="C291" s="21" t="n">
        <v>0.0375</v>
      </c>
      <c r="D291" s="5" t="n"/>
      <c r="E291" s="5" t="n"/>
      <c r="F291" s="26" t="inlineStr">
        <is>
          <t>INFO</t>
        </is>
      </c>
      <c r="G291" s="5" t="inlineStr">
        <is>
          <t>datos de CYPE (reproducción exacta)</t>
        </is>
      </c>
      <c r="H291" s="5" t="inlineStr">
        <is>
          <t>P1818-P1827 tables (all faces N.P.(1))</t>
        </is>
      </c>
      <c r="I291" s="5" t="inlineStr">
        <is>
          <t>uncracked</t>
        </is>
      </c>
    </row>
    <row r="292">
      <c r="A292" s="5" t="inlineStr">
        <is>
          <t>Vigas</t>
        </is>
      </c>
      <c r="B292" s="5" t="inlineStr">
        <is>
          <t>VT4 sag sigma_ct/fctm (QP psi2 0.3) &lt; 1 -&gt; 'N.P.(1)'</t>
        </is>
      </c>
      <c r="C292" s="21" t="n">
        <v>0.6662</v>
      </c>
      <c r="D292" s="5" t="n"/>
      <c r="E292" s="5" t="n"/>
      <c r="F292" s="26" t="inlineStr">
        <is>
          <t>INFO</t>
        </is>
      </c>
      <c r="G292" s="5" t="inlineStr">
        <is>
          <t>datos de CYPE (reproducción exacta)</t>
        </is>
      </c>
      <c r="H292" s="5" t="inlineStr">
        <is>
          <t>P1818-P1827 tables (all faces N.P.(1))</t>
        </is>
      </c>
      <c r="I292" s="5" t="inlineStr">
        <is>
          <t>uncracked</t>
        </is>
      </c>
    </row>
    <row r="293">
      <c r="A293" s="5" t="inlineStr">
        <is>
          <t>Vigas</t>
        </is>
      </c>
      <c r="B293" s="5" t="inlineStr">
        <is>
          <t>VT4 hog sigma_ct/fctm (QP psi2 0.3) &lt; 1 -&gt; 'N.P.(1)'</t>
        </is>
      </c>
      <c r="C293" s="21" t="n">
        <v>0.0396</v>
      </c>
      <c r="D293" s="5" t="n"/>
      <c r="E293" s="5" t="n"/>
      <c r="F293" s="26" t="inlineStr">
        <is>
          <t>INFO</t>
        </is>
      </c>
      <c r="G293" s="5" t="inlineStr">
        <is>
          <t>datos de CYPE (reproducción exacta)</t>
        </is>
      </c>
      <c r="H293" s="5" t="inlineStr">
        <is>
          <t>P1818-P1827 tables (all faces N.P.(1))</t>
        </is>
      </c>
      <c r="I293" s="5" t="inlineStr">
        <is>
          <t>uncracked</t>
        </is>
      </c>
    </row>
    <row r="294">
      <c r="A294" s="5" t="inlineStr">
        <is>
          <t>Vigas</t>
        </is>
      </c>
      <c r="B294" s="5" t="inlineStr">
        <is>
          <t>VT5 sag sigma_ct/fctm (QP psi2 0.3) &lt; 1 -&gt; 'N.P.(1)'</t>
        </is>
      </c>
      <c r="C294" s="21" t="n">
        <v>0.6523</v>
      </c>
      <c r="D294" s="5" t="n"/>
      <c r="E294" s="5" t="n"/>
      <c r="F294" s="26" t="inlineStr">
        <is>
          <t>INFO</t>
        </is>
      </c>
      <c r="G294" s="5" t="inlineStr">
        <is>
          <t>datos de CYPE (reproducción exacta)</t>
        </is>
      </c>
      <c r="H294" s="5" t="inlineStr">
        <is>
          <t>P1818-P1827 tables (all faces N.P.(1))</t>
        </is>
      </c>
      <c r="I294" s="5" t="inlineStr">
        <is>
          <t>uncracked</t>
        </is>
      </c>
    </row>
    <row r="295">
      <c r="A295" s="5" t="inlineStr">
        <is>
          <t>Vigas</t>
        </is>
      </c>
      <c r="B295" s="5" t="inlineStr">
        <is>
          <t>VT5 hog sigma_ct/fctm (QP psi2 0.3) &lt; 1 -&gt; 'N.P.(1)'</t>
        </is>
      </c>
      <c r="C295" s="21" t="n">
        <v>0.0375</v>
      </c>
      <c r="D295" s="5" t="n"/>
      <c r="E295" s="5" t="n"/>
      <c r="F295" s="26" t="inlineStr">
        <is>
          <t>INFO</t>
        </is>
      </c>
      <c r="G295" s="5" t="inlineStr">
        <is>
          <t>datos de CYPE (reproducción exacta)</t>
        </is>
      </c>
      <c r="H295" s="5" t="inlineStr">
        <is>
          <t>P1818-P1827 tables (all faces N.P.(1))</t>
        </is>
      </c>
      <c r="I295" s="5" t="inlineStr">
        <is>
          <t>uncracked</t>
        </is>
      </c>
    </row>
    <row r="296">
      <c r="A296" s="5" t="inlineStr">
        <is>
          <t>Vigas</t>
        </is>
      </c>
      <c r="B296" s="5" t="inlineStr">
        <is>
          <t>VT6 sag sigma_ct/fctm (QP psi2 0.3) &lt; 1 -&gt; 'N.P.(1)'</t>
        </is>
      </c>
      <c r="C296" s="21" t="n">
        <v>0.722</v>
      </c>
      <c r="D296" s="5" t="n"/>
      <c r="E296" s="5" t="n"/>
      <c r="F296" s="26" t="inlineStr">
        <is>
          <t>INFO</t>
        </is>
      </c>
      <c r="G296" s="5" t="inlineStr">
        <is>
          <t>datos de CYPE (reproducción exacta)</t>
        </is>
      </c>
      <c r="H296" s="5" t="inlineStr">
        <is>
          <t>P1818-P1827 tables (all faces N.P.(1))</t>
        </is>
      </c>
      <c r="I296" s="5" t="inlineStr">
        <is>
          <t>uncracked</t>
        </is>
      </c>
    </row>
    <row r="297">
      <c r="A297" s="5" t="inlineStr">
        <is>
          <t>Vigas</t>
        </is>
      </c>
      <c r="B297" s="5" t="inlineStr">
        <is>
          <t>VT6 hog sigma_ct/fctm (QP psi2 0.3) &lt; 1 -&gt; 'N.P.(1)'</t>
        </is>
      </c>
      <c r="C297" s="21" t="n">
        <v>0.0414</v>
      </c>
      <c r="D297" s="5" t="n"/>
      <c r="E297" s="5" t="n"/>
      <c r="F297" s="26" t="inlineStr">
        <is>
          <t>INFO</t>
        </is>
      </c>
      <c r="G297" s="5" t="inlineStr">
        <is>
          <t>datos de CYPE (reproducción exacta)</t>
        </is>
      </c>
      <c r="H297" s="5" t="inlineStr">
        <is>
          <t>P1818-P1827 tables (all faces N.P.(1))</t>
        </is>
      </c>
      <c r="I297" s="5" t="inlineStr">
        <is>
          <t>uncracked</t>
        </is>
      </c>
    </row>
    <row r="298">
      <c r="A298" s="5" t="inlineStr">
        <is>
          <t>Vigas</t>
        </is>
      </c>
      <c r="B298" s="5" t="inlineStr">
        <is>
          <t>VT7 sag sigma_ct/fctm (QP psi2 0.3) &lt; 1 -&gt; 'N.P.(1)'</t>
        </is>
      </c>
      <c r="C298" s="21" t="n">
        <v>0.3057</v>
      </c>
      <c r="D298" s="5" t="n"/>
      <c r="E298" s="5" t="n"/>
      <c r="F298" s="26" t="inlineStr">
        <is>
          <t>INFO</t>
        </is>
      </c>
      <c r="G298" s="5" t="inlineStr">
        <is>
          <t>datos de CYPE (reproducción exacta)</t>
        </is>
      </c>
      <c r="H298" s="5" t="inlineStr">
        <is>
          <t>P1818-P1827 tables (all faces N.P.(1))</t>
        </is>
      </c>
      <c r="I298" s="5" t="inlineStr">
        <is>
          <t>uncracked</t>
        </is>
      </c>
    </row>
    <row r="299">
      <c r="A299" s="5" t="inlineStr">
        <is>
          <t>Vigas</t>
        </is>
      </c>
      <c r="B299" s="5" t="inlineStr">
        <is>
          <t>VT7 hog sigma_ct/fctm (QP psi2 0.3) &lt; 1 -&gt; 'N.P.(1)'</t>
        </is>
      </c>
      <c r="C299" s="21" t="n">
        <v>0.0108</v>
      </c>
      <c r="D299" s="5" t="n"/>
      <c r="E299" s="5" t="n"/>
      <c r="F299" s="26" t="inlineStr">
        <is>
          <t>INFO</t>
        </is>
      </c>
      <c r="G299" s="5" t="inlineStr">
        <is>
          <t>datos de CYPE (reproducción exacta)</t>
        </is>
      </c>
      <c r="H299" s="5" t="inlineStr">
        <is>
          <t>P1818-P1827 tables (all faces N.P.(1))</t>
        </is>
      </c>
      <c r="I299" s="5" t="inlineStr">
        <is>
          <t>uncracked</t>
        </is>
      </c>
    </row>
    <row r="300">
      <c r="A300" s="5" t="inlineStr">
        <is>
          <t>Vigas</t>
        </is>
      </c>
      <c r="B300" s="5" t="inlineStr">
        <is>
          <t>VBM sag sigma_ct/fctm (QP psi2 0.3) &lt; 1 -&gt; 'N.P.(1)'</t>
        </is>
      </c>
      <c r="C300" s="21" t="n">
        <v>0.5197000000000001</v>
      </c>
      <c r="D300" s="5" t="n"/>
      <c r="E300" s="5" t="n"/>
      <c r="F300" s="26" t="inlineStr">
        <is>
          <t>INFO</t>
        </is>
      </c>
      <c r="G300" s="5" t="inlineStr">
        <is>
          <t>datos de CYPE (reproducción exacta)</t>
        </is>
      </c>
      <c r="H300" s="5" t="inlineStr">
        <is>
          <t>P1818-P1827 tables (all faces N.P.(1))</t>
        </is>
      </c>
      <c r="I300" s="5" t="inlineStr">
        <is>
          <t>uncracked</t>
        </is>
      </c>
    </row>
    <row r="301">
      <c r="A301" s="5" t="inlineStr">
        <is>
          <t>Vigas</t>
        </is>
      </c>
      <c r="B301" s="5" t="inlineStr">
        <is>
          <t>VBM hog sigma_ct/fctm (QP psi2 0.3) &lt; 1 -&gt; 'N.P.(1)'</t>
        </is>
      </c>
      <c r="C301" s="21" t="n">
        <v>1.065</v>
      </c>
      <c r="D301" s="5" t="n"/>
      <c r="E301" s="5" t="n"/>
      <c r="F301" s="26" t="inlineStr">
        <is>
          <t>INFO</t>
        </is>
      </c>
      <c r="G301" s="5" t="inlineStr">
        <is>
          <t>datos de CYPE (reproducción exacta)</t>
        </is>
      </c>
      <c r="H301" s="5" t="inlineStr">
        <is>
          <t>P1818-P1827 tables (all faces N.P.(1))</t>
        </is>
      </c>
      <c r="I301" s="5" t="inlineStr">
        <is>
          <t>CRACKED (CYPE: not cracked)</t>
        </is>
      </c>
    </row>
    <row r="302">
      <c r="A302" s="5" t="inlineStr">
        <is>
          <t>Vigas</t>
        </is>
      </c>
      <c r="B302" s="5" t="inlineStr">
        <is>
          <t>VBT sag sigma_ct/fctm (QP psi2 0.3) &lt; 1 -&gt; 'N.P.(1)'</t>
        </is>
      </c>
      <c r="C302" s="21" t="n">
        <v>0.5196</v>
      </c>
      <c r="D302" s="5" t="n"/>
      <c r="E302" s="5" t="n"/>
      <c r="F302" s="26" t="inlineStr">
        <is>
          <t>INFO</t>
        </is>
      </c>
      <c r="G302" s="5" t="inlineStr">
        <is>
          <t>datos de CYPE (reproducción exacta)</t>
        </is>
      </c>
      <c r="H302" s="5" t="inlineStr">
        <is>
          <t>P1818-P1827 tables (all faces N.P.(1))</t>
        </is>
      </c>
      <c r="I302" s="5" t="inlineStr">
        <is>
          <t>uncracked</t>
        </is>
      </c>
    </row>
    <row r="303">
      <c r="A303" s="5" t="inlineStr">
        <is>
          <t>Vigas</t>
        </is>
      </c>
      <c r="B303" s="5" t="inlineStr">
        <is>
          <t>VBT hog sigma_ct/fctm (QP psi2 0.3) &lt; 1 -&gt; 'N.P.(1)'</t>
        </is>
      </c>
      <c r="C303" s="21" t="n">
        <v>1.0701</v>
      </c>
      <c r="D303" s="5" t="n"/>
      <c r="E303" s="5" t="n"/>
      <c r="F303" s="26" t="inlineStr">
        <is>
          <t>INFO</t>
        </is>
      </c>
      <c r="G303" s="5" t="inlineStr">
        <is>
          <t>datos de CYPE (reproducción exacta)</t>
        </is>
      </c>
      <c r="H303" s="5" t="inlineStr">
        <is>
          <t>P1818-P1827 tables (all faces N.P.(1))</t>
        </is>
      </c>
      <c r="I303" s="5" t="inlineStr">
        <is>
          <t>CRACKED (CYPE: not cracked)</t>
        </is>
      </c>
    </row>
    <row r="304">
      <c r="A304" s="5" t="inlineStr">
        <is>
          <t>Vigas</t>
        </is>
      </c>
      <c r="B304" s="5" t="inlineStr">
        <is>
          <t>Pórtico 3 P1-P2 1/3L As_top_nec from the drawing node moment -318.8 [cm2]</t>
        </is>
      </c>
      <c r="C304" s="21" t="n">
        <v>15.9767</v>
      </c>
      <c r="D304" s="21" t="n">
        <v>15.98</v>
      </c>
      <c r="E304" s="22" t="n">
        <v>-0.02</v>
      </c>
      <c r="F304" s="12" t="inlineStr">
        <is>
          <t>PASS</t>
        </is>
      </c>
      <c r="G304" s="5" t="inlineStr">
        <is>
          <t>datos de CYPE (reproducción exacta)</t>
        </is>
      </c>
      <c r="H304" s="5" t="inlineStr">
        <is>
          <t>P1614 table: column 'Tramo: P1-P2' zone 1/3L</t>
        </is>
      </c>
      <c r="I304" s="5" t="inlineStr">
        <is>
          <t>CYPE sizes the support steel with the node moment (C20), not the zone value</t>
        </is>
      </c>
    </row>
    <row r="305">
      <c r="A305" s="5" t="inlineStr">
        <is>
          <t>Vigas</t>
        </is>
      </c>
      <c r="B305" s="5" t="inlineStr">
        <is>
          <t>Pórtico 4 P3-P4 1/3L As_top_nec from the drawing node moment -273.71 [cm2]</t>
        </is>
      </c>
      <c r="C305" s="21" t="n">
        <v>13.7248</v>
      </c>
      <c r="D305" s="21" t="n">
        <v>13.72</v>
      </c>
      <c r="E305" s="22" t="n">
        <v>0.04</v>
      </c>
      <c r="F305" s="12" t="inlineStr">
        <is>
          <t>PASS</t>
        </is>
      </c>
      <c r="G305" s="5" t="inlineStr">
        <is>
          <t>datos de CYPE (reproducción exacta)</t>
        </is>
      </c>
      <c r="H305" s="5" t="inlineStr">
        <is>
          <t>P1620 table: column 'Tramo: P3-P4' zone 1/3L</t>
        </is>
      </c>
      <c r="I305" s="5" t="inlineStr">
        <is>
          <t>CYPE sizes the support steel with the node moment (C20), not the zone value</t>
        </is>
      </c>
    </row>
    <row r="306">
      <c r="A306" s="5" t="inlineStr">
        <is>
          <t>Vigas</t>
        </is>
      </c>
      <c r="B306" s="5" t="inlineStr">
        <is>
          <t>Pórtico 5 P5-P6 1/3L As_top_nec from the drawing node moment -312.87 [cm2]</t>
        </is>
      </c>
      <c r="C306" s="21" t="n">
        <v>15.7546</v>
      </c>
      <c r="D306" s="21" t="n">
        <v>15.75</v>
      </c>
      <c r="E306" s="22" t="n">
        <v>0.03</v>
      </c>
      <c r="F306" s="12" t="inlineStr">
        <is>
          <t>PASS</t>
        </is>
      </c>
      <c r="G306" s="5" t="inlineStr">
        <is>
          <t>datos de CYPE (reproducción exacta)</t>
        </is>
      </c>
      <c r="H306" s="5" t="inlineStr">
        <is>
          <t>P1626 table: column 'Tramo: P5-P6' zone 1/3L</t>
        </is>
      </c>
      <c r="I306" s="5" t="inlineStr">
        <is>
          <t>CYPE sizes the support steel with the node moment (C20), not the zone value</t>
        </is>
      </c>
    </row>
    <row r="307">
      <c r="A307" s="5" t="inlineStr">
        <is>
          <t>Vigas</t>
        </is>
      </c>
      <c r="B307" s="5" t="inlineStr">
        <is>
          <t>Pórtico 6 P7-P8 1/3L As_top_nec from the drawing node moment -264.0 [cm2]</t>
        </is>
      </c>
      <c r="C307" s="21" t="n">
        <v>13.224</v>
      </c>
      <c r="D307" s="21" t="n">
        <v>13.22</v>
      </c>
      <c r="E307" s="22" t="n">
        <v>0.03</v>
      </c>
      <c r="F307" s="12" t="inlineStr">
        <is>
          <t>PASS</t>
        </is>
      </c>
      <c r="G307" s="5" t="inlineStr">
        <is>
          <t>datos de CYPE (reproducción exacta)</t>
        </is>
      </c>
      <c r="H307" s="5" t="inlineStr">
        <is>
          <t>P1632 table: column 'Tramo: P7-P8' zone 1/3L</t>
        </is>
      </c>
      <c r="I307" s="5" t="inlineStr">
        <is>
          <t>CYPE sizes the support steel with the node moment (C20), not the zone value</t>
        </is>
      </c>
    </row>
    <row r="308">
      <c r="A308" s="5" t="inlineStr">
        <is>
          <t>Vigas</t>
        </is>
      </c>
      <c r="B308" s="5" t="inlineStr">
        <is>
          <t>Pórtico 7 P13-P14 1/3L As_top_nec from the drawing node moment -303.83 [cm2]</t>
        </is>
      </c>
      <c r="C308" s="21" t="n">
        <v>15.2846</v>
      </c>
      <c r="D308" s="21" t="n">
        <v>15.28</v>
      </c>
      <c r="E308" s="22" t="n">
        <v>0.03</v>
      </c>
      <c r="F308" s="12" t="inlineStr">
        <is>
          <t>PASS</t>
        </is>
      </c>
      <c r="G308" s="5" t="inlineStr">
        <is>
          <t>datos de CYPE (reproducción exacta)</t>
        </is>
      </c>
      <c r="H308" s="5" t="inlineStr">
        <is>
          <t>P1638 table: column 'Tramo: P13-P14' zone 1/3L</t>
        </is>
      </c>
      <c r="I308" s="5" t="inlineStr">
        <is>
          <t>CYPE sizes the support steel with the node moment (C20), not the zone value</t>
        </is>
      </c>
    </row>
    <row r="309">
      <c r="A309" s="5" t="inlineStr">
        <is>
          <t>Vigas</t>
        </is>
      </c>
      <c r="B309" s="5" t="inlineStr">
        <is>
          <t>Pórtico 8 P15-P17 1/3L As_top_nec from the drawing node moment -255.61 [cm2]</t>
        </is>
      </c>
      <c r="C309" s="21" t="n">
        <v>12.7921</v>
      </c>
      <c r="D309" s="21" t="n">
        <v>12.79</v>
      </c>
      <c r="E309" s="22" t="n">
        <v>0.02</v>
      </c>
      <c r="F309" s="12" t="inlineStr">
        <is>
          <t>PASS</t>
        </is>
      </c>
      <c r="G309" s="5" t="inlineStr">
        <is>
          <t>datos de CYPE (reproducción exacta)</t>
        </is>
      </c>
      <c r="H309" s="5" t="inlineStr">
        <is>
          <t>P1644 table: column 'Tramo: P15-P17' zone 1/3L</t>
        </is>
      </c>
      <c r="I309" s="5" t="inlineStr">
        <is>
          <t>CYPE sizes the support steel with the node moment (C20), not the zone value</t>
        </is>
      </c>
    </row>
    <row r="310">
      <c r="A310" s="5" t="inlineStr">
        <is>
          <t>Vigas</t>
        </is>
      </c>
      <c r="B310" s="5" t="inlineStr">
        <is>
          <t>Pórtico 9 P16-P18 1/3L As_top_nec from the drawing node moment -291.23 [cm2]</t>
        </is>
      </c>
      <c r="C310" s="21" t="n">
        <v>14.5583</v>
      </c>
      <c r="D310" s="21" t="n">
        <v>14.56</v>
      </c>
      <c r="E310" s="22" t="n">
        <v>-0.01</v>
      </c>
      <c r="F310" s="12" t="inlineStr">
        <is>
          <t>PASS</t>
        </is>
      </c>
      <c r="G310" s="5" t="inlineStr">
        <is>
          <t>datos de CYPE (reproducción exacta)</t>
        </is>
      </c>
      <c r="H310" s="5" t="inlineStr">
        <is>
          <t>P1650 table: column 'Tramo: P16-P18' zone 1/3L</t>
        </is>
      </c>
      <c r="I310" s="5" t="inlineStr">
        <is>
          <t>CYPE sizes the support steel with the node moment (C20), not the zone value</t>
        </is>
      </c>
    </row>
    <row r="311">
      <c r="A311" s="5" t="inlineStr">
        <is>
          <t>Vigas</t>
        </is>
      </c>
      <c r="B311" s="5" t="inlineStr">
        <is>
          <t>listing §2 M: mean |diff| over 104 zone values [%]</t>
        </is>
      </c>
      <c r="C311" s="21" t="n">
        <v>19.6186</v>
      </c>
      <c r="D311" s="5" t="n"/>
      <c r="E311" s="5" t="n"/>
      <c r="F311" s="26" t="inlineStr">
        <is>
          <t>INFO</t>
        </is>
      </c>
      <c r="G311" s="5" t="inlineStr">
        <is>
          <t>datos de CYPE (reproducción exacta)</t>
        </is>
      </c>
      <c r="H311" s="5" t="inlineStr">
        <is>
          <t>tables.cype_listing_nec</t>
        </is>
      </c>
      <c r="I311" s="5" t="inlineStr">
        <is>
          <t>median 14.1 %, max 93.3 %</t>
        </is>
      </c>
    </row>
    <row r="312">
      <c r="A312" s="5" t="inlineStr">
        <is>
          <t>Vigas</t>
        </is>
      </c>
      <c r="B312" s="5" t="inlineStr">
        <is>
          <t>listing §2 V: mean |diff| over 63 zone values [%]</t>
        </is>
      </c>
      <c r="C312" s="21" t="n">
        <v>36.5954</v>
      </c>
      <c r="D312" s="5" t="n"/>
      <c r="E312" s="5" t="n"/>
      <c r="F312" s="26" t="inlineStr">
        <is>
          <t>INFO</t>
        </is>
      </c>
      <c r="G312" s="5" t="inlineStr">
        <is>
          <t>datos de CYPE (reproducción exacta)</t>
        </is>
      </c>
      <c r="H312" s="5" t="inlineStr">
        <is>
          <t>tables.cype_listing_nec</t>
        </is>
      </c>
      <c r="I312" s="5" t="inlineStr">
        <is>
          <t>median 26.9 %, max 108.7 %</t>
        </is>
      </c>
    </row>
    <row r="313">
      <c r="A313" s="5" t="inlineStr">
        <is>
          <t>Vigas</t>
        </is>
      </c>
      <c r="B313" s="5" t="inlineStr">
        <is>
          <t>listing §2 As: mean |diff| over 111 zone values [%]</t>
        </is>
      </c>
      <c r="C313" s="21" t="n">
        <v>18.5568</v>
      </c>
      <c r="D313" s="5" t="n"/>
      <c r="E313" s="5" t="n"/>
      <c r="F313" s="26" t="inlineStr">
        <is>
          <t>INFO</t>
        </is>
      </c>
      <c r="G313" s="5" t="inlineStr">
        <is>
          <t>datos de CYPE (reproducción exacta)</t>
        </is>
      </c>
      <c r="H313" s="5" t="inlineStr">
        <is>
          <t>tables.cype_listing_nec</t>
        </is>
      </c>
      <c r="I313" s="5" t="inlineStr">
        <is>
          <t>median 8.7 %, max 100.0 %</t>
        </is>
      </c>
    </row>
    <row r="314">
      <c r="A314" s="5" t="inlineStr">
        <is>
          <t>Vigas</t>
        </is>
      </c>
      <c r="B314" s="5" t="inlineStr">
        <is>
          <t>listing §2 Asw: mean |diff| over 63 zone values [%]</t>
        </is>
      </c>
      <c r="C314" s="21" t="n">
        <v>33.3098</v>
      </c>
      <c r="D314" s="5" t="n"/>
      <c r="E314" s="5" t="n"/>
      <c r="F314" s="26" t="inlineStr">
        <is>
          <t>INFO</t>
        </is>
      </c>
      <c r="G314" s="5" t="inlineStr">
        <is>
          <t>datos de CYPE (reproducción exacta)</t>
        </is>
      </c>
      <c r="H314" s="5" t="inlineStr">
        <is>
          <t>tables.cype_listing_nec</t>
        </is>
      </c>
      <c r="I314" s="5" t="inlineStr">
        <is>
          <t>median 15.4 %, max 126.8 %</t>
        </is>
      </c>
    </row>
    <row r="315">
      <c r="A315" s="5" t="inlineStr">
        <is>
          <t>Vigas</t>
        </is>
      </c>
      <c r="B315" s="5" t="inlineStr">
        <is>
          <t>listing §2 As Nec from CYPE's own zone M: mean |diff| over 104 [%]</t>
        </is>
      </c>
      <c r="C315" s="21" t="n">
        <v>10.7921</v>
      </c>
      <c r="D315" s="5" t="n"/>
      <c r="E315" s="5" t="n"/>
      <c r="F315" s="26" t="inlineStr">
        <is>
          <t>INFO</t>
        </is>
      </c>
      <c r="G315" s="5" t="inlineStr">
        <is>
          <t>datos de CYPE (reproducción exacta)</t>
        </is>
      </c>
      <c r="H315" s="5" t="inlineStr">
        <is>
          <t>tables.cype_listing_nec</t>
        </is>
      </c>
      <c r="I315" s="5" t="inlineStr">
        <is>
          <t>median 1.76 %; exact where CYPE sizes with the zone moment</t>
        </is>
      </c>
    </row>
    <row r="316">
      <c r="A316" s="5" t="inlineStr">
        <is>
          <t>Vigas</t>
        </is>
      </c>
      <c r="B316" s="5" t="inlineStr">
        <is>
          <t>§4.3 P9-P1 N,M eta [%]</t>
        </is>
      </c>
      <c r="C316" s="21" t="n">
        <v>17.0335</v>
      </c>
      <c r="D316" s="21" t="n">
        <v>80.5</v>
      </c>
      <c r="E316" s="22" t="n">
        <v>-78.84</v>
      </c>
      <c r="F316" s="26" t="inlineStr">
        <is>
          <t>INFO</t>
        </is>
      </c>
      <c r="G316" s="5" t="inlineStr">
        <is>
          <t>datos de CYPE (reproducción exacta)</t>
        </is>
      </c>
      <c r="H316" s="5" t="inlineStr">
        <is>
          <t>P1813 table: P9 - P1 N,M</t>
        </is>
      </c>
      <c r="I316" s="5" t="inlineStr">
        <is>
          <t>ours: max over the tramo at the faces; CYPE: node 'Pn' (cantilevers: reduced anchorage area near the bar ends, not modelled)</t>
        </is>
      </c>
    </row>
    <row r="317">
      <c r="A317" s="5" t="inlineStr">
        <is>
          <t>Vigas</t>
        </is>
      </c>
      <c r="B317" s="5" t="inlineStr">
        <is>
          <t>§4.3 P9-P1 Q eta [%]</t>
        </is>
      </c>
      <c r="C317" s="21" t="n">
        <v>32.69</v>
      </c>
      <c r="D317" s="21" t="n">
        <v>25.8</v>
      </c>
      <c r="E317" s="22" t="n">
        <v>26.71</v>
      </c>
      <c r="F317" s="26" t="inlineStr">
        <is>
          <t>INFO</t>
        </is>
      </c>
      <c r="G317" s="5" t="inlineStr">
        <is>
          <t>datos de CYPE (reproducción exacta)</t>
        </is>
      </c>
      <c r="H317" s="5" t="inlineStr">
        <is>
          <t>P1813 table: P9 - P1 Q</t>
        </is>
      </c>
      <c r="I317" s="5" t="inlineStr"/>
    </row>
    <row r="318">
      <c r="A318" s="5" t="inlineStr">
        <is>
          <t>Vigas</t>
        </is>
      </c>
      <c r="B318" s="5" t="inlineStr">
        <is>
          <t>§4.3 P9-P1 Tc eta [%]</t>
        </is>
      </c>
      <c r="C318" s="21" t="n">
        <v>7.77</v>
      </c>
      <c r="D318" s="21" t="n">
        <v>4.6</v>
      </c>
      <c r="E318" s="22" t="n">
        <v>68.91</v>
      </c>
      <c r="F318" s="26" t="inlineStr">
        <is>
          <t>INFO</t>
        </is>
      </c>
      <c r="G318" s="5" t="inlineStr">
        <is>
          <t>datos de CYPE (reproducción exacta)</t>
        </is>
      </c>
      <c r="H318" s="5" t="inlineStr">
        <is>
          <t>P1813 table: P9 - P1 Tc</t>
        </is>
      </c>
      <c r="I318" s="5" t="inlineStr">
        <is>
          <t>SAP torsion is larger than CYPE's (edge-beam continuity)</t>
        </is>
      </c>
    </row>
    <row r="319">
      <c r="A319" s="5" t="inlineStr">
        <is>
          <t>Vigas</t>
        </is>
      </c>
      <c r="B319" s="5" t="inlineStr">
        <is>
          <t>§4.3 P9-P1 TVy eta [%]</t>
        </is>
      </c>
      <c r="C319" s="21" t="n">
        <v>12.52</v>
      </c>
      <c r="D319" s="21" t="n">
        <v>8</v>
      </c>
      <c r="E319" s="22" t="n">
        <v>56.5</v>
      </c>
      <c r="F319" s="26" t="inlineStr">
        <is>
          <t>INFO</t>
        </is>
      </c>
      <c r="G319" s="5" t="inlineStr">
        <is>
          <t>datos de CYPE (reproducción exacta)</t>
        </is>
      </c>
      <c r="H319" s="5" t="inlineStr">
        <is>
          <t>P1813 table: P9 - P1 TVy</t>
        </is>
      </c>
      <c r="I319" s="5" t="inlineStr"/>
    </row>
    <row r="320">
      <c r="A320" s="5" t="inlineStr">
        <is>
          <t>Vigas</t>
        </is>
      </c>
      <c r="B320" s="5" t="inlineStr">
        <is>
          <t>§4.3 P1-P2 N,M eta [%]</t>
        </is>
      </c>
      <c r="C320" s="21" t="n">
        <v>92.25700000000001</v>
      </c>
      <c r="D320" s="21" t="n">
        <v>93.40000000000001</v>
      </c>
      <c r="E320" s="22" t="n">
        <v>-1.22</v>
      </c>
      <c r="F320" s="26" t="inlineStr">
        <is>
          <t>INFO</t>
        </is>
      </c>
      <c r="G320" s="5" t="inlineStr">
        <is>
          <t>datos de CYPE (reproducción exacta)</t>
        </is>
      </c>
      <c r="H320" s="5" t="inlineStr">
        <is>
          <t>P1813 table: P1 - P2 N,M</t>
        </is>
      </c>
      <c r="I320" s="5" t="inlineStr">
        <is>
          <t>ours: max over the tramo at the faces; CYPE: node 'Pn' (cantilevers: reduced anchorage area near the bar ends, not modelled)</t>
        </is>
      </c>
    </row>
    <row r="321">
      <c r="A321" s="5" t="inlineStr">
        <is>
          <t>Vigas</t>
        </is>
      </c>
      <c r="B321" s="5" t="inlineStr">
        <is>
          <t>§4.3 P1-P2 Q eta [%]</t>
        </is>
      </c>
      <c r="C321" s="21" t="n">
        <v>72.11</v>
      </c>
      <c r="D321" s="21" t="n">
        <v>72.3</v>
      </c>
      <c r="E321" s="22" t="n">
        <v>-0.26</v>
      </c>
      <c r="F321" s="26" t="inlineStr">
        <is>
          <t>INFO</t>
        </is>
      </c>
      <c r="G321" s="5" t="inlineStr">
        <is>
          <t>datos de CYPE (reproducción exacta)</t>
        </is>
      </c>
      <c r="H321" s="5" t="inlineStr">
        <is>
          <t>P1813 table: P1 - P2 Q</t>
        </is>
      </c>
      <c r="I321" s="5" t="inlineStr"/>
    </row>
    <row r="322">
      <c r="A322" s="5" t="inlineStr">
        <is>
          <t>Vigas</t>
        </is>
      </c>
      <c r="B322" s="5" t="inlineStr">
        <is>
          <t>§4.3 P1-P2 Tc eta [%]</t>
        </is>
      </c>
      <c r="C322" s="21" t="n">
        <v>4.82</v>
      </c>
      <c r="D322" s="21" t="n">
        <v>4.9</v>
      </c>
      <c r="E322" s="22" t="n">
        <v>-1.63</v>
      </c>
      <c r="F322" s="26" t="inlineStr">
        <is>
          <t>INFO</t>
        </is>
      </c>
      <c r="G322" s="5" t="inlineStr">
        <is>
          <t>datos de CYPE (reproducción exacta)</t>
        </is>
      </c>
      <c r="H322" s="5" t="inlineStr">
        <is>
          <t>P1813 table: P1 - P2 Tc</t>
        </is>
      </c>
      <c r="I322" s="5" t="inlineStr">
        <is>
          <t>SAP torsion is larger than CYPE's (edge-beam continuity)</t>
        </is>
      </c>
    </row>
    <row r="323">
      <c r="A323" s="5" t="inlineStr">
        <is>
          <t>Vigas</t>
        </is>
      </c>
      <c r="B323" s="5" t="inlineStr">
        <is>
          <t>§4.3 P1-P2 TVy eta [%]</t>
        </is>
      </c>
      <c r="C323" s="21" t="n">
        <v>17.08</v>
      </c>
      <c r="D323" s="21" t="n">
        <v>15.7</v>
      </c>
      <c r="E323" s="22" t="n">
        <v>8.789999999999999</v>
      </c>
      <c r="F323" s="26" t="inlineStr">
        <is>
          <t>INFO</t>
        </is>
      </c>
      <c r="G323" s="5" t="inlineStr">
        <is>
          <t>datos de CYPE (reproducción exacta)</t>
        </is>
      </c>
      <c r="H323" s="5" t="inlineStr">
        <is>
          <t>P1813 table: P1 - P2 TVy</t>
        </is>
      </c>
      <c r="I323" s="5" t="inlineStr"/>
    </row>
    <row r="324">
      <c r="A324" s="5" t="inlineStr">
        <is>
          <t>Vigas</t>
        </is>
      </c>
      <c r="B324" s="5" t="inlineStr">
        <is>
          <t>§4.3 P1-P2 fT,max [mm]</t>
        </is>
      </c>
      <c r="C324" s="21" t="n">
        <v>0.302</v>
      </c>
      <c r="D324" s="21" t="n">
        <v>0.27</v>
      </c>
      <c r="E324" s="22" t="n">
        <v>11.85</v>
      </c>
      <c r="F324" s="26" t="inlineStr">
        <is>
          <t>INFO</t>
        </is>
      </c>
      <c r="G324" s="5" t="inlineStr">
        <is>
          <t>datos de CYPE (reproducción exacta)</t>
        </is>
      </c>
      <c r="H324" s="5" t="inlineStr">
        <is>
          <t>P1830 table: P1 - P2</t>
        </is>
      </c>
      <c r="I324" s="5" t="inlineStr">
        <is>
          <t>ours: cracked-section integration, phi = 2.0, beta = 0.5</t>
        </is>
      </c>
    </row>
    <row r="325">
      <c r="A325" s="5" t="inlineStr">
        <is>
          <t>Vigas</t>
        </is>
      </c>
      <c r="B325" s="5" t="inlineStr">
        <is>
          <t>§4.3 P10-P3 N,M eta [%]</t>
        </is>
      </c>
      <c r="C325" s="21" t="n">
        <v>2.9804</v>
      </c>
      <c r="D325" s="21" t="n">
        <v>73.59999999999999</v>
      </c>
      <c r="E325" s="22" t="n">
        <v>-95.95</v>
      </c>
      <c r="F325" s="26" t="inlineStr">
        <is>
          <t>INFO</t>
        </is>
      </c>
      <c r="G325" s="5" t="inlineStr">
        <is>
          <t>datos de CYPE (reproducción exacta)</t>
        </is>
      </c>
      <c r="H325" s="5" t="inlineStr">
        <is>
          <t>P1813 table: P10 - P3 N,M</t>
        </is>
      </c>
      <c r="I325" s="5" t="inlineStr">
        <is>
          <t>ours: max over the tramo at the faces; CYPE: node 'Pn' (cantilevers: reduced anchorage area near the bar ends, not modelled)</t>
        </is>
      </c>
    </row>
    <row r="326">
      <c r="A326" s="5" t="inlineStr">
        <is>
          <t>Vigas</t>
        </is>
      </c>
      <c r="B326" s="5" t="inlineStr">
        <is>
          <t>§4.3 P10-P3 Q eta [%]</t>
        </is>
      </c>
      <c r="C326" s="21" t="n">
        <v>25.94</v>
      </c>
      <c r="D326" s="21" t="n">
        <v>16.7</v>
      </c>
      <c r="E326" s="22" t="n">
        <v>55.33</v>
      </c>
      <c r="F326" s="26" t="inlineStr">
        <is>
          <t>INFO</t>
        </is>
      </c>
      <c r="G326" s="5" t="inlineStr">
        <is>
          <t>datos de CYPE (reproducción exacta)</t>
        </is>
      </c>
      <c r="H326" s="5" t="inlineStr">
        <is>
          <t>P1813 table: P10 - P3 Q</t>
        </is>
      </c>
      <c r="I326" s="5" t="inlineStr"/>
    </row>
    <row r="327">
      <c r="A327" s="5" t="inlineStr">
        <is>
          <t>Vigas</t>
        </is>
      </c>
      <c r="B327" s="5" t="inlineStr">
        <is>
          <t>§4.3 P3-P4 N,M eta [%]</t>
        </is>
      </c>
      <c r="C327" s="21" t="n">
        <v>80.2642</v>
      </c>
      <c r="D327" s="21" t="n">
        <v>84</v>
      </c>
      <c r="E327" s="22" t="n">
        <v>-4.45</v>
      </c>
      <c r="F327" s="26" t="inlineStr">
        <is>
          <t>INFO</t>
        </is>
      </c>
      <c r="G327" s="5" t="inlineStr">
        <is>
          <t>datos de CYPE (reproducción exacta)</t>
        </is>
      </c>
      <c r="H327" s="5" t="inlineStr">
        <is>
          <t>P1813 table: P3 - P4 N,M</t>
        </is>
      </c>
      <c r="I327" s="5" t="inlineStr">
        <is>
          <t>ours: max over the tramo at the faces; CYPE: node 'Pn' (cantilevers: reduced anchorage area near the bar ends, not modelled)</t>
        </is>
      </c>
    </row>
    <row r="328">
      <c r="A328" s="5" t="inlineStr">
        <is>
          <t>Vigas</t>
        </is>
      </c>
      <c r="B328" s="5" t="inlineStr">
        <is>
          <t>§4.3 P3-P4 Q eta [%]</t>
        </is>
      </c>
      <c r="C328" s="21" t="n">
        <v>94.36</v>
      </c>
      <c r="D328" s="21" t="n">
        <v>95.8</v>
      </c>
      <c r="E328" s="22" t="n">
        <v>-1.5</v>
      </c>
      <c r="F328" s="26" t="inlineStr">
        <is>
          <t>INFO</t>
        </is>
      </c>
      <c r="G328" s="5" t="inlineStr">
        <is>
          <t>datos de CYPE (reproducción exacta)</t>
        </is>
      </c>
      <c r="H328" s="5" t="inlineStr">
        <is>
          <t>P1813 table: P3 - P4 Q</t>
        </is>
      </c>
      <c r="I328" s="5" t="inlineStr"/>
    </row>
    <row r="329">
      <c r="A329" s="5" t="inlineStr">
        <is>
          <t>Vigas</t>
        </is>
      </c>
      <c r="B329" s="5" t="inlineStr">
        <is>
          <t>§4.3 P3-P4 fT,max [mm]</t>
        </is>
      </c>
      <c r="C329" s="21" t="n">
        <v>0.722</v>
      </c>
      <c r="D329" s="21" t="n">
        <v>1.53</v>
      </c>
      <c r="E329" s="22" t="n">
        <v>-52.81</v>
      </c>
      <c r="F329" s="26" t="inlineStr">
        <is>
          <t>INFO</t>
        </is>
      </c>
      <c r="G329" s="5" t="inlineStr">
        <is>
          <t>datos de CYPE (reproducción exacta)</t>
        </is>
      </c>
      <c r="H329" s="5" t="inlineStr">
        <is>
          <t>P1830 table: P3 - P4</t>
        </is>
      </c>
      <c r="I329" s="5" t="inlineStr">
        <is>
          <t>ours: cracked-section integration, phi = 2.0, beta = 0.5</t>
        </is>
      </c>
    </row>
    <row r="330">
      <c r="A330" s="5" t="inlineStr">
        <is>
          <t>Vigas</t>
        </is>
      </c>
      <c r="B330" s="5" t="inlineStr">
        <is>
          <t>§4.3 P11-P5 N,M eta [%]</t>
        </is>
      </c>
      <c r="C330" s="21" t="n">
        <v>18.9818</v>
      </c>
      <c r="D330" s="21" t="n">
        <v>94.40000000000001</v>
      </c>
      <c r="E330" s="22" t="n">
        <v>-79.89</v>
      </c>
      <c r="F330" s="26" t="inlineStr">
        <is>
          <t>INFO</t>
        </is>
      </c>
      <c r="G330" s="5" t="inlineStr">
        <is>
          <t>datos de CYPE (reproducción exacta)</t>
        </is>
      </c>
      <c r="H330" s="5" t="inlineStr">
        <is>
          <t>P1813 table: P11 - P5 N,M</t>
        </is>
      </c>
      <c r="I330" s="5" t="inlineStr">
        <is>
          <t>ours: max over the tramo at the faces; CYPE: node 'Pn' (cantilevers: reduced anchorage area near the bar ends, not modelled)</t>
        </is>
      </c>
    </row>
    <row r="331">
      <c r="A331" s="5" t="inlineStr">
        <is>
          <t>Vigas</t>
        </is>
      </c>
      <c r="B331" s="5" t="inlineStr">
        <is>
          <t>§4.3 P11-P5 Q eta [%]</t>
        </is>
      </c>
      <c r="C331" s="21" t="n">
        <v>37.91</v>
      </c>
      <c r="D331" s="21" t="n">
        <v>32.3</v>
      </c>
      <c r="E331" s="22" t="n">
        <v>17.37</v>
      </c>
      <c r="F331" s="26" t="inlineStr">
        <is>
          <t>INFO</t>
        </is>
      </c>
      <c r="G331" s="5" t="inlineStr">
        <is>
          <t>datos de CYPE (reproducción exacta)</t>
        </is>
      </c>
      <c r="H331" s="5" t="inlineStr">
        <is>
          <t>P1813 table: P11 - P5 Q</t>
        </is>
      </c>
      <c r="I331" s="5" t="inlineStr"/>
    </row>
    <row r="332">
      <c r="A332" s="5" t="inlineStr">
        <is>
          <t>Vigas</t>
        </is>
      </c>
      <c r="B332" s="5" t="inlineStr">
        <is>
          <t>§4.3 P5-P6 N,M eta [%]</t>
        </is>
      </c>
      <c r="C332" s="21" t="n">
        <v>91.8685</v>
      </c>
      <c r="D332" s="21" t="n">
        <v>96</v>
      </c>
      <c r="E332" s="22" t="n">
        <v>-4.3</v>
      </c>
      <c r="F332" s="26" t="inlineStr">
        <is>
          <t>INFO</t>
        </is>
      </c>
      <c r="G332" s="5" t="inlineStr">
        <is>
          <t>datos de CYPE (reproducción exacta)</t>
        </is>
      </c>
      <c r="H332" s="5" t="inlineStr">
        <is>
          <t>P1813 table: P5 - P6 N,M</t>
        </is>
      </c>
      <c r="I332" s="5" t="inlineStr">
        <is>
          <t>ours: max over the tramo at the faces; CYPE: node 'Pn' (cantilevers: reduced anchorage area near the bar ends, not modelled)</t>
        </is>
      </c>
    </row>
    <row r="333">
      <c r="A333" s="5" t="inlineStr">
        <is>
          <t>Vigas</t>
        </is>
      </c>
      <c r="B333" s="5" t="inlineStr">
        <is>
          <t>§4.3 P5-P6 Q eta [%]</t>
        </is>
      </c>
      <c r="C333" s="21" t="n">
        <v>92.27</v>
      </c>
      <c r="D333" s="21" t="n">
        <v>92.3</v>
      </c>
      <c r="E333" s="22" t="n">
        <v>-0.03</v>
      </c>
      <c r="F333" s="26" t="inlineStr">
        <is>
          <t>INFO</t>
        </is>
      </c>
      <c r="G333" s="5" t="inlineStr">
        <is>
          <t>datos de CYPE (reproducción exacta)</t>
        </is>
      </c>
      <c r="H333" s="5" t="inlineStr">
        <is>
          <t>P1813 table: P5 - P6 Q</t>
        </is>
      </c>
      <c r="I333" s="5" t="inlineStr"/>
    </row>
    <row r="334">
      <c r="A334" s="5" t="inlineStr">
        <is>
          <t>Vigas</t>
        </is>
      </c>
      <c r="B334" s="5" t="inlineStr">
        <is>
          <t>§4.3 P5-P6 fT,max [mm]</t>
        </is>
      </c>
      <c r="C334" s="21" t="n">
        <v>0.653</v>
      </c>
      <c r="D334" s="21" t="n">
        <v>1.17</v>
      </c>
      <c r="E334" s="22" t="n">
        <v>-44.19</v>
      </c>
      <c r="F334" s="26" t="inlineStr">
        <is>
          <t>INFO</t>
        </is>
      </c>
      <c r="G334" s="5" t="inlineStr">
        <is>
          <t>datos de CYPE (reproducción exacta)</t>
        </is>
      </c>
      <c r="H334" s="5" t="inlineStr">
        <is>
          <t>P1830 table: P5 - P6</t>
        </is>
      </c>
      <c r="I334" s="5" t="inlineStr">
        <is>
          <t>ours: cracked-section integration, phi = 2.0, beta = 0.5</t>
        </is>
      </c>
    </row>
    <row r="335">
      <c r="A335" s="5" t="inlineStr">
        <is>
          <t>Vigas</t>
        </is>
      </c>
      <c r="B335" s="5" t="inlineStr">
        <is>
          <t>§4.3 P12-P7 N,M eta [%]</t>
        </is>
      </c>
      <c r="C335" s="21" t="n">
        <v>2.8439</v>
      </c>
      <c r="D335" s="21" t="n">
        <v>70.7</v>
      </c>
      <c r="E335" s="22" t="n">
        <v>-95.98</v>
      </c>
      <c r="F335" s="26" t="inlineStr">
        <is>
          <t>INFO</t>
        </is>
      </c>
      <c r="G335" s="5" t="inlineStr">
        <is>
          <t>datos de CYPE (reproducción exacta)</t>
        </is>
      </c>
      <c r="H335" s="5" t="inlineStr">
        <is>
          <t>P1813 table: P12 - P7 N,M</t>
        </is>
      </c>
      <c r="I335" s="5" t="inlineStr">
        <is>
          <t>ours: max over the tramo at the faces; CYPE: node 'Pn' (cantilevers: reduced anchorage area near the bar ends, not modelled)</t>
        </is>
      </c>
    </row>
    <row r="336">
      <c r="A336" s="5" t="inlineStr">
        <is>
          <t>Vigas</t>
        </is>
      </c>
      <c r="B336" s="5" t="inlineStr">
        <is>
          <t>§4.3 P12-P7 Q eta [%]</t>
        </is>
      </c>
      <c r="C336" s="21" t="n">
        <v>24.02</v>
      </c>
      <c r="D336" s="21" t="n">
        <v>15.8</v>
      </c>
      <c r="E336" s="22" t="n">
        <v>52.03</v>
      </c>
      <c r="F336" s="26" t="inlineStr">
        <is>
          <t>INFO</t>
        </is>
      </c>
      <c r="G336" s="5" t="inlineStr">
        <is>
          <t>datos de CYPE (reproducción exacta)</t>
        </is>
      </c>
      <c r="H336" s="5" t="inlineStr">
        <is>
          <t>P1813 table: P12 - P7 Q</t>
        </is>
      </c>
      <c r="I336" s="5" t="inlineStr"/>
    </row>
    <row r="337">
      <c r="A337" s="5" t="inlineStr">
        <is>
          <t>Vigas</t>
        </is>
      </c>
      <c r="B337" s="5" t="inlineStr">
        <is>
          <t>§4.3 P7-P8 N,M eta [%]</t>
        </is>
      </c>
      <c r="C337" s="21" t="n">
        <v>77.57559999999999</v>
      </c>
      <c r="D337" s="21" t="n">
        <v>81</v>
      </c>
      <c r="E337" s="22" t="n">
        <v>-4.23</v>
      </c>
      <c r="F337" s="26" t="inlineStr">
        <is>
          <t>INFO</t>
        </is>
      </c>
      <c r="G337" s="5" t="inlineStr">
        <is>
          <t>datos de CYPE (reproducción exacta)</t>
        </is>
      </c>
      <c r="H337" s="5" t="inlineStr">
        <is>
          <t>P1813 table: P7 - P8 N,M</t>
        </is>
      </c>
      <c r="I337" s="5" t="inlineStr">
        <is>
          <t>ours: max over the tramo at the faces; CYPE: node 'Pn' (cantilevers: reduced anchorage area near the bar ends, not modelled)</t>
        </is>
      </c>
    </row>
    <row r="338">
      <c r="A338" s="5" t="inlineStr">
        <is>
          <t>Vigas</t>
        </is>
      </c>
      <c r="B338" s="5" t="inlineStr">
        <is>
          <t>§4.3 P7-P8 Q eta [%]</t>
        </is>
      </c>
      <c r="C338" s="21" t="n">
        <v>88.73999999999999</v>
      </c>
      <c r="D338" s="21" t="n">
        <v>89.7</v>
      </c>
      <c r="E338" s="22" t="n">
        <v>-1.07</v>
      </c>
      <c r="F338" s="26" t="inlineStr">
        <is>
          <t>INFO</t>
        </is>
      </c>
      <c r="G338" s="5" t="inlineStr">
        <is>
          <t>datos de CYPE (reproducción exacta)</t>
        </is>
      </c>
      <c r="H338" s="5" t="inlineStr">
        <is>
          <t>P1813 table: P7 - P8 Q</t>
        </is>
      </c>
      <c r="I338" s="5" t="inlineStr"/>
    </row>
    <row r="339">
      <c r="A339" s="5" t="inlineStr">
        <is>
          <t>Vigas</t>
        </is>
      </c>
      <c r="B339" s="5" t="inlineStr">
        <is>
          <t>§4.3 P7-P8 fT,max [mm]</t>
        </is>
      </c>
      <c r="C339" s="21" t="n">
        <v>0.667</v>
      </c>
      <c r="D339" s="21" t="n">
        <v>1.24</v>
      </c>
      <c r="E339" s="22" t="n">
        <v>-46.21</v>
      </c>
      <c r="F339" s="26" t="inlineStr">
        <is>
          <t>INFO</t>
        </is>
      </c>
      <c r="G339" s="5" t="inlineStr">
        <is>
          <t>datos de CYPE (reproducción exacta)</t>
        </is>
      </c>
      <c r="H339" s="5" t="inlineStr">
        <is>
          <t>P1830 table: P7 - P8</t>
        </is>
      </c>
      <c r="I339" s="5" t="inlineStr">
        <is>
          <t>ours: cracked-section integration, phi = 2.0, beta = 0.5</t>
        </is>
      </c>
    </row>
    <row r="340">
      <c r="A340" s="5" t="inlineStr">
        <is>
          <t>Vigas</t>
        </is>
      </c>
      <c r="B340" s="5" t="inlineStr">
        <is>
          <t>§4.3 P19-P13 N,M eta [%]</t>
        </is>
      </c>
      <c r="C340" s="21" t="n">
        <v>18.9882</v>
      </c>
      <c r="D340" s="21" t="n">
        <v>92.3</v>
      </c>
      <c r="E340" s="22" t="n">
        <v>-79.43000000000001</v>
      </c>
      <c r="F340" s="26" t="inlineStr">
        <is>
          <t>INFO</t>
        </is>
      </c>
      <c r="G340" s="5" t="inlineStr">
        <is>
          <t>datos de CYPE (reproducción exacta)</t>
        </is>
      </c>
      <c r="H340" s="5" t="inlineStr">
        <is>
          <t>P1813 table: P19 - P13 N,M</t>
        </is>
      </c>
      <c r="I340" s="5" t="inlineStr">
        <is>
          <t>ours: max over the tramo at the faces; CYPE: node 'Pn' (cantilevers: reduced anchorage area near the bar ends, not modelled)</t>
        </is>
      </c>
    </row>
    <row r="341">
      <c r="A341" s="5" t="inlineStr">
        <is>
          <t>Vigas</t>
        </is>
      </c>
      <c r="B341" s="5" t="inlineStr">
        <is>
          <t>§4.3 P19-P13 Q eta [%]</t>
        </is>
      </c>
      <c r="C341" s="21" t="n">
        <v>37.91</v>
      </c>
      <c r="D341" s="21" t="n">
        <v>32.3</v>
      </c>
      <c r="E341" s="22" t="n">
        <v>17.37</v>
      </c>
      <c r="F341" s="26" t="inlineStr">
        <is>
          <t>INFO</t>
        </is>
      </c>
      <c r="G341" s="5" t="inlineStr">
        <is>
          <t>datos de CYPE (reproducción exacta)</t>
        </is>
      </c>
      <c r="H341" s="5" t="inlineStr">
        <is>
          <t>P1813 table: P19 - P13 Q</t>
        </is>
      </c>
      <c r="I341" s="5" t="inlineStr"/>
    </row>
    <row r="342">
      <c r="A342" s="5" t="inlineStr">
        <is>
          <t>Vigas</t>
        </is>
      </c>
      <c r="B342" s="5" t="inlineStr">
        <is>
          <t>§4.3 P13-P14 N,M eta [%]</t>
        </is>
      </c>
      <c r="C342" s="21" t="n">
        <v>89.17449999999999</v>
      </c>
      <c r="D342" s="21" t="n">
        <v>93.3</v>
      </c>
      <c r="E342" s="22" t="n">
        <v>-4.42</v>
      </c>
      <c r="F342" s="26" t="inlineStr">
        <is>
          <t>INFO</t>
        </is>
      </c>
      <c r="G342" s="5" t="inlineStr">
        <is>
          <t>datos de CYPE (reproducción exacta)</t>
        </is>
      </c>
      <c r="H342" s="5" t="inlineStr">
        <is>
          <t>P1813 table: P13 - P14 N,M</t>
        </is>
      </c>
      <c r="I342" s="5" t="inlineStr">
        <is>
          <t>ours: max over the tramo at the faces; CYPE: node 'Pn' (cantilevers: reduced anchorage area near the bar ends, not modelled)</t>
        </is>
      </c>
    </row>
    <row r="343">
      <c r="A343" s="5" t="inlineStr">
        <is>
          <t>Vigas</t>
        </is>
      </c>
      <c r="B343" s="5" t="inlineStr">
        <is>
          <t>§4.3 P13-P14 Q eta [%]</t>
        </is>
      </c>
      <c r="C343" s="21" t="n">
        <v>90.84</v>
      </c>
      <c r="D343" s="21" t="n">
        <v>90.90000000000001</v>
      </c>
      <c r="E343" s="22" t="n">
        <v>-0.07000000000000001</v>
      </c>
      <c r="F343" s="26" t="inlineStr">
        <is>
          <t>INFO</t>
        </is>
      </c>
      <c r="G343" s="5" t="inlineStr">
        <is>
          <t>datos de CYPE (reproducción exacta)</t>
        </is>
      </c>
      <c r="H343" s="5" t="inlineStr">
        <is>
          <t>P1813 table: P13 - P14 Q</t>
        </is>
      </c>
      <c r="I343" s="5" t="inlineStr"/>
    </row>
    <row r="344">
      <c r="A344" s="5" t="inlineStr">
        <is>
          <t>Vigas</t>
        </is>
      </c>
      <c r="B344" s="5" t="inlineStr">
        <is>
          <t>§4.3 P13-P14 fT,max [mm]</t>
        </is>
      </c>
      <c r="C344" s="21" t="n">
        <v>0.653</v>
      </c>
      <c r="D344" s="21" t="n">
        <v>1.17</v>
      </c>
      <c r="E344" s="22" t="n">
        <v>-44.19</v>
      </c>
      <c r="F344" s="26" t="inlineStr">
        <is>
          <t>INFO</t>
        </is>
      </c>
      <c r="G344" s="5" t="inlineStr">
        <is>
          <t>datos de CYPE (reproducción exacta)</t>
        </is>
      </c>
      <c r="H344" s="5" t="inlineStr">
        <is>
          <t>P1830 table: P13 - P14</t>
        </is>
      </c>
      <c r="I344" s="5" t="inlineStr">
        <is>
          <t>ours: cracked-section integration, phi = 2.0, beta = 0.5</t>
        </is>
      </c>
    </row>
    <row r="345">
      <c r="A345" s="5" t="inlineStr">
        <is>
          <t>Vigas</t>
        </is>
      </c>
      <c r="B345" s="5" t="inlineStr">
        <is>
          <t>§4.3 P21-P15 N,M eta [%]</t>
        </is>
      </c>
      <c r="C345" s="21" t="n">
        <v>2.9804</v>
      </c>
      <c r="D345" s="21" t="n">
        <v>69.2</v>
      </c>
      <c r="E345" s="22" t="n">
        <v>-95.69</v>
      </c>
      <c r="F345" s="26" t="inlineStr">
        <is>
          <t>INFO</t>
        </is>
      </c>
      <c r="G345" s="5" t="inlineStr">
        <is>
          <t>datos de CYPE (reproducción exacta)</t>
        </is>
      </c>
      <c r="H345" s="5" t="inlineStr">
        <is>
          <t>P1813 table: P21 - P15 N,M</t>
        </is>
      </c>
      <c r="I345" s="5" t="inlineStr">
        <is>
          <t>ours: max over the tramo at the faces; CYPE: node 'Pn' (cantilevers: reduced anchorage area near the bar ends, not modelled)</t>
        </is>
      </c>
    </row>
    <row r="346">
      <c r="A346" s="5" t="inlineStr">
        <is>
          <t>Vigas</t>
        </is>
      </c>
      <c r="B346" s="5" t="inlineStr">
        <is>
          <t>§4.3 P21-P15 Q eta [%]</t>
        </is>
      </c>
      <c r="C346" s="21" t="n">
        <v>25.94</v>
      </c>
      <c r="D346" s="21" t="n">
        <v>16.7</v>
      </c>
      <c r="E346" s="22" t="n">
        <v>55.33</v>
      </c>
      <c r="F346" s="26" t="inlineStr">
        <is>
          <t>INFO</t>
        </is>
      </c>
      <c r="G346" s="5" t="inlineStr">
        <is>
          <t>datos de CYPE (reproducción exacta)</t>
        </is>
      </c>
      <c r="H346" s="5" t="inlineStr">
        <is>
          <t>P1813 table: P21 - P15 Q</t>
        </is>
      </c>
      <c r="I346" s="5" t="inlineStr"/>
    </row>
    <row r="347">
      <c r="A347" s="5" t="inlineStr">
        <is>
          <t>Vigas</t>
        </is>
      </c>
      <c r="B347" s="5" t="inlineStr">
        <is>
          <t>§4.3 P15-P17 N,M eta [%]</t>
        </is>
      </c>
      <c r="C347" s="21" t="n">
        <v>74.8771</v>
      </c>
      <c r="D347" s="21" t="n">
        <v>78.5</v>
      </c>
      <c r="E347" s="22" t="n">
        <v>-4.62</v>
      </c>
      <c r="F347" s="26" t="inlineStr">
        <is>
          <t>INFO</t>
        </is>
      </c>
      <c r="G347" s="5" t="inlineStr">
        <is>
          <t>datos de CYPE (reproducción exacta)</t>
        </is>
      </c>
      <c r="H347" s="5" t="inlineStr">
        <is>
          <t>P1813 table: P15 - P17 N,M</t>
        </is>
      </c>
      <c r="I347" s="5" t="inlineStr">
        <is>
          <t>ours: max over the tramo at the faces; CYPE: node 'Pn' (cantilevers: reduced anchorage area near the bar ends, not modelled)</t>
        </is>
      </c>
    </row>
    <row r="348">
      <c r="A348" s="5" t="inlineStr">
        <is>
          <t>Vigas</t>
        </is>
      </c>
      <c r="B348" s="5" t="inlineStr">
        <is>
          <t>§4.3 P15-P17 Q eta [%]</t>
        </is>
      </c>
      <c r="C348" s="21" t="n">
        <v>91.48999999999999</v>
      </c>
      <c r="D348" s="21" t="n">
        <v>92.90000000000001</v>
      </c>
      <c r="E348" s="22" t="n">
        <v>-1.52</v>
      </c>
      <c r="F348" s="26" t="inlineStr">
        <is>
          <t>INFO</t>
        </is>
      </c>
      <c r="G348" s="5" t="inlineStr">
        <is>
          <t>datos de CYPE (reproducción exacta)</t>
        </is>
      </c>
      <c r="H348" s="5" t="inlineStr">
        <is>
          <t>P1813 table: P15 - P17 Q</t>
        </is>
      </c>
      <c r="I348" s="5" t="inlineStr"/>
    </row>
    <row r="349">
      <c r="A349" s="5" t="inlineStr">
        <is>
          <t>Vigas</t>
        </is>
      </c>
      <c r="B349" s="5" t="inlineStr">
        <is>
          <t>§4.3 P15-P17 fT,max [mm]</t>
        </is>
      </c>
      <c r="C349" s="21" t="n">
        <v>0.722</v>
      </c>
      <c r="D349" s="21" t="n">
        <v>1.53</v>
      </c>
      <c r="E349" s="22" t="n">
        <v>-52.81</v>
      </c>
      <c r="F349" s="26" t="inlineStr">
        <is>
          <t>INFO</t>
        </is>
      </c>
      <c r="G349" s="5" t="inlineStr">
        <is>
          <t>datos de CYPE (reproducción exacta)</t>
        </is>
      </c>
      <c r="H349" s="5" t="inlineStr">
        <is>
          <t>P1830 table: P15 - P17</t>
        </is>
      </c>
      <c r="I349" s="5" t="inlineStr">
        <is>
          <t>ours: cracked-section integration, phi = 2.0, beta = 0.5</t>
        </is>
      </c>
    </row>
    <row r="350">
      <c r="A350" s="5" t="inlineStr">
        <is>
          <t>Vigas</t>
        </is>
      </c>
      <c r="B350" s="5" t="inlineStr">
        <is>
          <t>§4.3 P20-P16 N,M eta [%]</t>
        </is>
      </c>
      <c r="C350" s="21" t="n">
        <v>17.0485</v>
      </c>
      <c r="D350" s="21" t="n">
        <v>78.59999999999999</v>
      </c>
      <c r="E350" s="22" t="n">
        <v>-78.31</v>
      </c>
      <c r="F350" s="26" t="inlineStr">
        <is>
          <t>INFO</t>
        </is>
      </c>
      <c r="G350" s="5" t="inlineStr">
        <is>
          <t>datos de CYPE (reproducción exacta)</t>
        </is>
      </c>
      <c r="H350" s="5" t="inlineStr">
        <is>
          <t>P1813 table: P20 - P16 N,M</t>
        </is>
      </c>
      <c r="I350" s="5" t="inlineStr">
        <is>
          <t>ours: max over the tramo at the faces; CYPE: node 'Pn' (cantilevers: reduced anchorage area near the bar ends, not modelled)</t>
        </is>
      </c>
    </row>
    <row r="351">
      <c r="A351" s="5" t="inlineStr">
        <is>
          <t>Vigas</t>
        </is>
      </c>
      <c r="B351" s="5" t="inlineStr">
        <is>
          <t>§4.3 P20-P16 Q eta [%]</t>
        </is>
      </c>
      <c r="C351" s="21" t="n">
        <v>32.69</v>
      </c>
      <c r="D351" s="21" t="n">
        <v>25.8</v>
      </c>
      <c r="E351" s="22" t="n">
        <v>26.71</v>
      </c>
      <c r="F351" s="26" t="inlineStr">
        <is>
          <t>INFO</t>
        </is>
      </c>
      <c r="G351" s="5" t="inlineStr">
        <is>
          <t>datos de CYPE (reproducción exacta)</t>
        </is>
      </c>
      <c r="H351" s="5" t="inlineStr">
        <is>
          <t>P1813 table: P20 - P16 Q</t>
        </is>
      </c>
      <c r="I351" s="5" t="inlineStr"/>
    </row>
    <row r="352">
      <c r="A352" s="5" t="inlineStr">
        <is>
          <t>Vigas</t>
        </is>
      </c>
      <c r="B352" s="5" t="inlineStr">
        <is>
          <t>§4.3 P20-P16 Tc eta [%]</t>
        </is>
      </c>
      <c r="C352" s="21" t="n">
        <v>7.77</v>
      </c>
      <c r="D352" s="21" t="n">
        <v>4.6</v>
      </c>
      <c r="E352" s="22" t="n">
        <v>68.91</v>
      </c>
      <c r="F352" s="26" t="inlineStr">
        <is>
          <t>INFO</t>
        </is>
      </c>
      <c r="G352" s="5" t="inlineStr">
        <is>
          <t>datos de CYPE (reproducción exacta)</t>
        </is>
      </c>
      <c r="H352" s="5" t="inlineStr">
        <is>
          <t>P1813 table: P20 - P16 Tc</t>
        </is>
      </c>
      <c r="I352" s="5" t="inlineStr">
        <is>
          <t>SAP torsion is larger than CYPE's (edge-beam continuity)</t>
        </is>
      </c>
    </row>
    <row r="353">
      <c r="A353" s="5" t="inlineStr">
        <is>
          <t>Vigas</t>
        </is>
      </c>
      <c r="B353" s="5" t="inlineStr">
        <is>
          <t>§4.3 P20-P16 TVy eta [%]</t>
        </is>
      </c>
      <c r="C353" s="21" t="n">
        <v>12.52</v>
      </c>
      <c r="D353" s="21" t="n">
        <v>8</v>
      </c>
      <c r="E353" s="22" t="n">
        <v>56.5</v>
      </c>
      <c r="F353" s="26" t="inlineStr">
        <is>
          <t>INFO</t>
        </is>
      </c>
      <c r="G353" s="5" t="inlineStr">
        <is>
          <t>datos de CYPE (reproducción exacta)</t>
        </is>
      </c>
      <c r="H353" s="5" t="inlineStr">
        <is>
          <t>P1813 table: P20 - P16 TVy</t>
        </is>
      </c>
      <c r="I353" s="5" t="inlineStr"/>
    </row>
    <row r="354">
      <c r="A354" s="5" t="inlineStr">
        <is>
          <t>Vigas</t>
        </is>
      </c>
      <c r="B354" s="5" t="inlineStr">
        <is>
          <t>§4.3 P16-P18 N,M eta [%]</t>
        </is>
      </c>
      <c r="C354" s="21" t="n">
        <v>84.3989</v>
      </c>
      <c r="D354" s="21" t="n">
        <v>85.40000000000001</v>
      </c>
      <c r="E354" s="22" t="n">
        <v>-1.17</v>
      </c>
      <c r="F354" s="26" t="inlineStr">
        <is>
          <t>INFO</t>
        </is>
      </c>
      <c r="G354" s="5" t="inlineStr">
        <is>
          <t>datos de CYPE (reproducción exacta)</t>
        </is>
      </c>
      <c r="H354" s="5" t="inlineStr">
        <is>
          <t>P1813 table: P16 - P18 N,M</t>
        </is>
      </c>
      <c r="I354" s="5" t="inlineStr">
        <is>
          <t>ours: max over the tramo at the faces; CYPE: node 'Pn' (cantilevers: reduced anchorage area near the bar ends, not modelled)</t>
        </is>
      </c>
    </row>
    <row r="355">
      <c r="A355" s="5" t="inlineStr">
        <is>
          <t>Vigas</t>
        </is>
      </c>
      <c r="B355" s="5" t="inlineStr">
        <is>
          <t>§4.3 P16-P18 Q eta [%]</t>
        </is>
      </c>
      <c r="C355" s="21" t="n">
        <v>67.77</v>
      </c>
      <c r="D355" s="21" t="n">
        <v>67.90000000000001</v>
      </c>
      <c r="E355" s="22" t="n">
        <v>-0.19</v>
      </c>
      <c r="F355" s="26" t="inlineStr">
        <is>
          <t>INFO</t>
        </is>
      </c>
      <c r="G355" s="5" t="inlineStr">
        <is>
          <t>datos de CYPE (reproducción exacta)</t>
        </is>
      </c>
      <c r="H355" s="5" t="inlineStr">
        <is>
          <t>P1813 table: P16 - P18 Q</t>
        </is>
      </c>
      <c r="I355" s="5" t="inlineStr"/>
    </row>
    <row r="356">
      <c r="A356" s="5" t="inlineStr">
        <is>
          <t>Vigas</t>
        </is>
      </c>
      <c r="B356" s="5" t="inlineStr">
        <is>
          <t>§4.3 P16-P18 Tc eta [%]</t>
        </is>
      </c>
      <c r="C356" s="21" t="n">
        <v>4.82</v>
      </c>
      <c r="D356" s="21" t="n">
        <v>4.9</v>
      </c>
      <c r="E356" s="22" t="n">
        <v>-1.63</v>
      </c>
      <c r="F356" s="26" t="inlineStr">
        <is>
          <t>INFO</t>
        </is>
      </c>
      <c r="G356" s="5" t="inlineStr">
        <is>
          <t>datos de CYPE (reproducción exacta)</t>
        </is>
      </c>
      <c r="H356" s="5" t="inlineStr">
        <is>
          <t>P1813 table: P16 - P18 Tc</t>
        </is>
      </c>
      <c r="I356" s="5" t="inlineStr">
        <is>
          <t>SAP torsion is larger than CYPE's (edge-beam continuity)</t>
        </is>
      </c>
    </row>
    <row r="357">
      <c r="A357" s="5" t="inlineStr">
        <is>
          <t>Vigas</t>
        </is>
      </c>
      <c r="B357" s="5" t="inlineStr">
        <is>
          <t>§4.3 P16-P18 TVy eta [%]</t>
        </is>
      </c>
      <c r="C357" s="21" t="n">
        <v>16.69</v>
      </c>
      <c r="D357" s="21" t="n">
        <v>15.1</v>
      </c>
      <c r="E357" s="22" t="n">
        <v>10.53</v>
      </c>
      <c r="F357" s="26" t="inlineStr">
        <is>
          <t>INFO</t>
        </is>
      </c>
      <c r="G357" s="5" t="inlineStr">
        <is>
          <t>datos de CYPE (reproducción exacta)</t>
        </is>
      </c>
      <c r="H357" s="5" t="inlineStr">
        <is>
          <t>P1813 table: P16 - P18 TVy</t>
        </is>
      </c>
      <c r="I357" s="5" t="inlineStr"/>
    </row>
    <row r="358">
      <c r="A358" s="5" t="inlineStr">
        <is>
          <t>Vigas</t>
        </is>
      </c>
      <c r="B358" s="5" t="inlineStr">
        <is>
          <t>§4.3 P16-P18 fT,max [mm]</t>
        </is>
      </c>
      <c r="C358" s="21" t="n">
        <v>0.302</v>
      </c>
      <c r="D358" s="21" t="n">
        <v>0.27</v>
      </c>
      <c r="E358" s="22" t="n">
        <v>11.85</v>
      </c>
      <c r="F358" s="26" t="inlineStr">
        <is>
          <t>INFO</t>
        </is>
      </c>
      <c r="G358" s="5" t="inlineStr">
        <is>
          <t>datos de CYPE (reproducción exacta)</t>
        </is>
      </c>
      <c r="H358" s="5" t="inlineStr">
        <is>
          <t>P1830 table: P16 - P18</t>
        </is>
      </c>
      <c r="I358" s="5" t="inlineStr">
        <is>
          <t>ours: cracked-section integration, phi = 2.0, beta = 0.5</t>
        </is>
      </c>
    </row>
    <row r="359">
      <c r="A359" s="5" t="inlineStr">
        <is>
          <t>Vigas</t>
        </is>
      </c>
      <c r="B359" s="5" t="inlineStr">
        <is>
          <t>§4.3 P9-P20 N,M eta [%]</t>
        </is>
      </c>
      <c r="C359" s="21" t="n">
        <v>93.6551</v>
      </c>
      <c r="D359" s="21" t="n">
        <v>82.3</v>
      </c>
      <c r="E359" s="22" t="n">
        <v>13.8</v>
      </c>
      <c r="F359" s="26" t="inlineStr">
        <is>
          <t>INFO</t>
        </is>
      </c>
      <c r="G359" s="5" t="inlineStr">
        <is>
          <t>datos de CYPE (reproducción exacta)</t>
        </is>
      </c>
      <c r="H359" s="5" t="inlineStr">
        <is>
          <t>P1813 table: P9 - P20 N,M</t>
        </is>
      </c>
      <c r="I359" s="5" t="inlineStr"/>
    </row>
    <row r="360">
      <c r="A360" s="5" t="inlineStr">
        <is>
          <t>Vigas</t>
        </is>
      </c>
      <c r="B360" s="5" t="inlineStr">
        <is>
          <t>§4.3 P9-P20 Q eta [%]</t>
        </is>
      </c>
      <c r="C360" s="21" t="n">
        <v>104.13</v>
      </c>
      <c r="D360" s="21" t="n">
        <v>58.9</v>
      </c>
      <c r="E360" s="22" t="n">
        <v>76.79000000000001</v>
      </c>
      <c r="F360" s="26" t="inlineStr">
        <is>
          <t>INFO</t>
        </is>
      </c>
      <c r="G360" s="5" t="inlineStr">
        <is>
          <t>datos de CYPE (reproducción exacta)</t>
        </is>
      </c>
      <c r="H360" s="5" t="inlineStr">
        <is>
          <t>P1813 table: P9 - P20 Q</t>
        </is>
      </c>
      <c r="I360" s="5" t="inlineStr"/>
    </row>
    <row r="361">
      <c r="A361" s="5" t="inlineStr">
        <is>
          <t>Vigas</t>
        </is>
      </c>
      <c r="B361" s="5" t="inlineStr">
        <is>
          <t>§4.3 P2-P4 N,M eta [%]</t>
        </is>
      </c>
      <c r="C361" s="21" t="n">
        <v>94.9256</v>
      </c>
      <c r="D361" s="21" t="n">
        <v>78.5</v>
      </c>
      <c r="E361" s="22" t="n">
        <v>20.92</v>
      </c>
      <c r="F361" s="26" t="inlineStr">
        <is>
          <t>INFO</t>
        </is>
      </c>
      <c r="G361" s="5" t="inlineStr">
        <is>
          <t>datos de CYPE (reproducción exacta)</t>
        </is>
      </c>
      <c r="H361" s="5" t="inlineStr">
        <is>
          <t>P1813 table: P2 - P4 N,M</t>
        </is>
      </c>
      <c r="I361" s="5" t="inlineStr"/>
    </row>
    <row r="362">
      <c r="A362" s="5" t="inlineStr">
        <is>
          <t>Vigas</t>
        </is>
      </c>
      <c r="B362" s="5" t="inlineStr">
        <is>
          <t>§4.3 P2-P4 Q eta [%]</t>
        </is>
      </c>
      <c r="C362" s="21" t="n">
        <v>107.96</v>
      </c>
      <c r="D362" s="21" t="n">
        <v>51.7</v>
      </c>
      <c r="E362" s="22" t="n">
        <v>108.82</v>
      </c>
      <c r="F362" s="26" t="inlineStr">
        <is>
          <t>INFO</t>
        </is>
      </c>
      <c r="G362" s="5" t="inlineStr">
        <is>
          <t>datos de CYPE (reproducción exacta)</t>
        </is>
      </c>
      <c r="H362" s="5" t="inlineStr">
        <is>
          <t>P1813 table: P2 - P4 Q</t>
        </is>
      </c>
      <c r="I362" s="5" t="inlineStr"/>
    </row>
    <row r="363">
      <c r="A363" s="5" t="inlineStr">
        <is>
          <t>Vigas</t>
        </is>
      </c>
      <c r="B363" s="5" t="inlineStr">
        <is>
          <t>§4.3 P4-P6 N,M eta [%]</t>
        </is>
      </c>
      <c r="C363" s="21" t="n">
        <v>92.4543</v>
      </c>
      <c r="D363" s="21" t="n">
        <v>77.90000000000001</v>
      </c>
      <c r="E363" s="22" t="n">
        <v>18.68</v>
      </c>
      <c r="F363" s="26" t="inlineStr">
        <is>
          <t>INFO</t>
        </is>
      </c>
      <c r="G363" s="5" t="inlineStr">
        <is>
          <t>datos de CYPE (reproducción exacta)</t>
        </is>
      </c>
      <c r="H363" s="5" t="inlineStr">
        <is>
          <t>P1815 table: P4 - P6 N,M</t>
        </is>
      </c>
      <c r="I363" s="5" t="inlineStr"/>
    </row>
    <row r="364">
      <c r="A364" s="5" t="inlineStr">
        <is>
          <t>Vigas</t>
        </is>
      </c>
      <c r="B364" s="5" t="inlineStr">
        <is>
          <t>§4.3 P4-P6 Q eta [%]</t>
        </is>
      </c>
      <c r="C364" s="21" t="n">
        <v>102.18</v>
      </c>
      <c r="D364" s="21" t="n">
        <v>48.4</v>
      </c>
      <c r="E364" s="22" t="n">
        <v>111.12</v>
      </c>
      <c r="F364" s="26" t="inlineStr">
        <is>
          <t>INFO</t>
        </is>
      </c>
      <c r="G364" s="5" t="inlineStr">
        <is>
          <t>datos de CYPE (reproducción exacta)</t>
        </is>
      </c>
      <c r="H364" s="5" t="inlineStr">
        <is>
          <t>P1815 table: P4 - P6 Q</t>
        </is>
      </c>
      <c r="I364" s="5" t="inlineStr"/>
    </row>
    <row r="365">
      <c r="A365" s="5" t="inlineStr">
        <is>
          <t>Vigas</t>
        </is>
      </c>
      <c r="B365" s="5" t="inlineStr">
        <is>
          <t>§4.3 P6-P8 N,M eta [%]</t>
        </is>
      </c>
      <c r="C365" s="21" t="n">
        <v>79.9237</v>
      </c>
      <c r="D365" s="21" t="n">
        <v>71</v>
      </c>
      <c r="E365" s="22" t="n">
        <v>12.57</v>
      </c>
      <c r="F365" s="26" t="inlineStr">
        <is>
          <t>INFO</t>
        </is>
      </c>
      <c r="G365" s="5" t="inlineStr">
        <is>
          <t>datos de CYPE (reproducción exacta)</t>
        </is>
      </c>
      <c r="H365" s="5" t="inlineStr">
        <is>
          <t>P1815 table: P6 - P8 N,M</t>
        </is>
      </c>
      <c r="I365" s="5" t="inlineStr"/>
    </row>
    <row r="366">
      <c r="A366" s="5" t="inlineStr">
        <is>
          <t>Vigas</t>
        </is>
      </c>
      <c r="B366" s="5" t="inlineStr">
        <is>
          <t>§4.3 P6-P8 Q eta [%]</t>
        </is>
      </c>
      <c r="C366" s="21" t="n">
        <v>92.17</v>
      </c>
      <c r="D366" s="21" t="n">
        <v>47.8</v>
      </c>
      <c r="E366" s="22" t="n">
        <v>92.81999999999999</v>
      </c>
      <c r="F366" s="26" t="inlineStr">
        <is>
          <t>INFO</t>
        </is>
      </c>
      <c r="G366" s="5" t="inlineStr">
        <is>
          <t>datos de CYPE (reproducción exacta)</t>
        </is>
      </c>
      <c r="H366" s="5" t="inlineStr">
        <is>
          <t>P1815 table: P6 - P8 Q</t>
        </is>
      </c>
      <c r="I366" s="5" t="inlineStr"/>
    </row>
    <row r="367">
      <c r="A367" s="5" t="inlineStr">
        <is>
          <t>Vigas</t>
        </is>
      </c>
      <c r="B367" s="5" t="inlineStr">
        <is>
          <t>§4.3 P8-P14 N,M eta [%]</t>
        </is>
      </c>
      <c r="C367" s="21" t="n">
        <v>80.24509999999999</v>
      </c>
      <c r="D367" s="21" t="n">
        <v>71</v>
      </c>
      <c r="E367" s="22" t="n">
        <v>13.02</v>
      </c>
      <c r="F367" s="26" t="inlineStr">
        <is>
          <t>INFO</t>
        </is>
      </c>
      <c r="G367" s="5" t="inlineStr">
        <is>
          <t>datos de CYPE (reproducción exacta)</t>
        </is>
      </c>
      <c r="H367" s="5" t="inlineStr">
        <is>
          <t>P1815 table: P8 - P14 N,M</t>
        </is>
      </c>
      <c r="I367" s="5" t="inlineStr"/>
    </row>
    <row r="368">
      <c r="A368" s="5" t="inlineStr">
        <is>
          <t>Vigas</t>
        </is>
      </c>
      <c r="B368" s="5" t="inlineStr">
        <is>
          <t>§4.3 P8-P14 Q eta [%]</t>
        </is>
      </c>
      <c r="C368" s="21" t="n">
        <v>92.43000000000001</v>
      </c>
      <c r="D368" s="21" t="n">
        <v>47.9</v>
      </c>
      <c r="E368" s="22" t="n">
        <v>92.95999999999999</v>
      </c>
      <c r="F368" s="26" t="inlineStr">
        <is>
          <t>INFO</t>
        </is>
      </c>
      <c r="G368" s="5" t="inlineStr">
        <is>
          <t>datos de CYPE (reproducción exacta)</t>
        </is>
      </c>
      <c r="H368" s="5" t="inlineStr">
        <is>
          <t>P1815 table: P8 - P14 Q</t>
        </is>
      </c>
      <c r="I368" s="5" t="inlineStr"/>
    </row>
    <row r="369">
      <c r="A369" s="5" t="inlineStr">
        <is>
          <t>Vigas</t>
        </is>
      </c>
      <c r="B369" s="5" t="inlineStr">
        <is>
          <t>§4.3 P14-P17 N,M eta [%]</t>
        </is>
      </c>
      <c r="C369" s="21" t="n">
        <v>92.03319999999999</v>
      </c>
      <c r="D369" s="21" t="n">
        <v>77.8</v>
      </c>
      <c r="E369" s="22" t="n">
        <v>18.29</v>
      </c>
      <c r="F369" s="26" t="inlineStr">
        <is>
          <t>INFO</t>
        </is>
      </c>
      <c r="G369" s="5" t="inlineStr">
        <is>
          <t>datos de CYPE (reproducción exacta)</t>
        </is>
      </c>
      <c r="H369" s="5" t="inlineStr">
        <is>
          <t>P1815 table: P14 - P17 N,M</t>
        </is>
      </c>
      <c r="I369" s="5" t="inlineStr"/>
    </row>
    <row r="370">
      <c r="A370" s="5" t="inlineStr">
        <is>
          <t>Vigas</t>
        </is>
      </c>
      <c r="B370" s="5" t="inlineStr">
        <is>
          <t>§4.3 P14-P17 Q eta [%]</t>
        </is>
      </c>
      <c r="C370" s="21" t="n">
        <v>101.79</v>
      </c>
      <c r="D370" s="21" t="n">
        <v>48.3</v>
      </c>
      <c r="E370" s="22" t="n">
        <v>110.75</v>
      </c>
      <c r="F370" s="26" t="inlineStr">
        <is>
          <t>INFO</t>
        </is>
      </c>
      <c r="G370" s="5" t="inlineStr">
        <is>
          <t>datos de CYPE (reproducción exacta)</t>
        </is>
      </c>
      <c r="H370" s="5" t="inlineStr">
        <is>
          <t>P1815 table: P14 - P17 Q</t>
        </is>
      </c>
      <c r="I370" s="5" t="inlineStr"/>
    </row>
    <row r="371">
      <c r="A371" s="5" t="inlineStr">
        <is>
          <t>Vigas</t>
        </is>
      </c>
      <c r="B371" s="5" t="inlineStr">
        <is>
          <t>§4.3 P17-P18 N,M eta [%]</t>
        </is>
      </c>
      <c r="C371" s="21" t="n">
        <v>95.1515</v>
      </c>
      <c r="D371" s="21" t="n">
        <v>78.7</v>
      </c>
      <c r="E371" s="22" t="n">
        <v>20.9</v>
      </c>
      <c r="F371" s="26" t="inlineStr">
        <is>
          <t>INFO</t>
        </is>
      </c>
      <c r="G371" s="5" t="inlineStr">
        <is>
          <t>datos de CYPE (reproducción exacta)</t>
        </is>
      </c>
      <c r="H371" s="5" t="inlineStr">
        <is>
          <t>P1813 table: P17 - P18 N,M</t>
        </is>
      </c>
      <c r="I371" s="5" t="inlineStr"/>
    </row>
    <row r="372">
      <c r="A372" s="5" t="inlineStr">
        <is>
          <t>Vigas</t>
        </is>
      </c>
      <c r="B372" s="5" t="inlineStr">
        <is>
          <t>§4.3 P17-P18 Q eta [%]</t>
        </is>
      </c>
      <c r="C372" s="21" t="n">
        <v>108.08</v>
      </c>
      <c r="D372" s="21" t="n">
        <v>51.8</v>
      </c>
      <c r="E372" s="22" t="n">
        <v>108.65</v>
      </c>
      <c r="F372" s="26" t="inlineStr">
        <is>
          <t>INFO</t>
        </is>
      </c>
      <c r="G372" s="5" t="inlineStr">
        <is>
          <t>datos de CYPE (reproducción exacta)</t>
        </is>
      </c>
      <c r="H372" s="5" t="inlineStr">
        <is>
          <t>P1813 table: P17 - P18 Q</t>
        </is>
      </c>
      <c r="I372" s="5" t="inlineStr"/>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10" customWidth="1" min="1" max="1"/>
    <col width="22" customWidth="1" min="2" max="2"/>
    <col width="160" customWidth="1" min="3" max="3"/>
  </cols>
  <sheetData>
    <row r="1">
      <c r="A1" s="1" t="inlineStr">
        <is>
          <t>Supuestos, bases y cláusulas</t>
        </is>
      </c>
    </row>
    <row r="2">
      <c r="A2" s="2" t="inlineStr">
        <is>
          <t>Decisiones F0-F8, hipótesis de pilotes.py y vigas.py, materiales y cláusulas del Código Estructural (Anejo 19 = EN 1992-1-1 + AN España).</t>
        </is>
      </c>
    </row>
    <row r="4" ht="32" customHeight="1">
      <c r="A4" s="4" t="inlineStr">
        <is>
          <t>Id</t>
        </is>
      </c>
      <c r="B4" s="4" t="inlineStr">
        <is>
          <t>Tema</t>
        </is>
      </c>
      <c r="C4" s="4" t="inlineStr">
        <is>
          <t>Texto</t>
        </is>
      </c>
    </row>
    <row r="5" ht="45" customHeight="1">
      <c r="A5" s="5" t="inlineStr">
        <is>
          <t>F0</t>
        </is>
      </c>
      <c r="B5" s="5" t="inlineStr">
        <is>
          <t>Decisión final</t>
        </is>
      </c>
      <c r="C5" s="6" t="inlineStr">
        <is>
          <t>Bases de cálculo / design bases: 'CYPE' = hipótesis del Anejo 10 (ψ0,Qa 0.7; ψ2,Qa 0.3, valor de edificación del CTE; tiro de bolardo tratado como viento, ψ2 0) para la paridad; 'ROM' = recomendada para un puerto: ROM 2.0-11 Tabla 4.6.4.1 (ψ0,Qa 1.0; ψ2,Qa 0.8; bolardo ψ2 0, con 0.5 como sensibilidad). Veredicto final = Mode.CODIGO (sección estricta al Código) + base ROM + XS3 wmax 0.1 mm (CE Art. 27 Tabla 27.2) en combinación cuasipermanente.</t>
        </is>
      </c>
    </row>
    <row r="6" ht="105" customHeight="1">
      <c r="A6" s="5" t="inlineStr">
        <is>
          <t>F1</t>
        </is>
      </c>
      <c r="B6" s="5" t="inlineStr">
        <is>
          <t>Decisión final</t>
        </is>
      </c>
      <c r="C6" s="6" t="inlineStr">
        <is>
          <t>Pilotes 40x40 HA-50 (12Ø25 + 3 cercos Ø10/150): ELU cumple en todas las bases (η N-M 2º orden máx 0.987 en cabeza de P3, ROM; 0.920 paridad CYPE frente a 0.913 de CYPE), cortante 0.814, disposiciones (As 58.9 ≤ 0.04Ac = 64 cm²), sin fisurar en cuasipermanente (bolardo ψ2 0). σc ≤ 0.6fck (A19.7.2(2), XS) superada en cabeza de P1, P2, P3, P16 con Ecm para toda la carga característica (máx 1.109); con Ec,eff para la parte sostenida todas cumplen (máx 0.966). A19.7.2(2) admite 'otras medidas' como el confinamiento con armadura transversal -&gt; FINAL: se mantiene 12Ø25 y se reduce la separación de los cercos a Ø10 c/100 en los 0.40 m superiores de cada pilote (zona extrema, A19.9.5.3(4)); veredicto CUMPLE con esa medida. As,nec = 58.43 cm² (cabeza P3, ROM) frente a 58.91 dispuesta (0.99): 12Ø25 es necesaria y suficiente; los pilotes de tierra necesitarían ~39-46 cm² (16Ø20) pero se mantiene un pilote prefabricado uniforme.</t>
        </is>
      </c>
    </row>
    <row r="7" ht="30" customHeight="1">
      <c r="A7" s="5" t="inlineStr">
        <is>
          <t>F2</t>
        </is>
      </c>
      <c r="B7" s="5" t="inlineStr">
        <is>
          <t>Decisión final</t>
        </is>
      </c>
      <c r="C7" s="6" t="inlineStr">
        <is>
          <t>Tiro de bolardo ψ2 = 0: Se mantiene ψ2 = 0 como en el proyecto original (el tiro de amarre no es cuasipermanente en un muelle pesquero); con 0.5 fisurarían seis pilotes (wk hasta 0.153 mm &gt; 0.1) y ninguna armadura dentro de As,max lo resuelve -&gt; documentado como hipótesis.</t>
        </is>
      </c>
    </row>
    <row r="8" ht="75" customHeight="1">
      <c r="A8" s="5" t="inlineStr">
        <is>
          <t>F3</t>
        </is>
      </c>
      <c r="B8" s="5" t="inlineStr">
        <is>
          <t>Decisión final</t>
        </is>
      </c>
      <c r="C8" s="6" t="inlineStr">
        <is>
          <t>Vigas transversales interiores (ejes 2-6, T invertida): ELU flexión (máx 0.88), cortante incl. armadura de suspensión de las alas (máx 0.72 con cot θ óptimo), disposiciones y flecha cumplen. La fisuración NO cumple con ψ2 0.8 de la ROM (M_qp 137-152 kN·m &gt; Mcr 125 kN·m; wk 0.155-0.172 mm &gt; 0.1 mm; el 7Ø20 inferior dispuesto sólo cumple para ψ2,Qa ≤ 0.58-0.70). FINAL: armadura inferior 8Ø20 en el alma + 4Ø16 en las alas (33.18 cm², wk 0.096 mm) en lugar de 5Ø20 + 2Ø20 (21.99 cm²); superior 5Ø20 y estribos (1 cerco Ø10 + 1 rama Ø10 + cerco de alas, 3 ramas Ø10 c/100) sin cambio. Con ψ2 0.3 de CYPE el armado dispuesto cumple (como obtuvo CYPE).</t>
        </is>
      </c>
    </row>
    <row r="9" ht="60" customHeight="1">
      <c r="A9" s="5" t="inlineStr">
        <is>
          <t>F4</t>
        </is>
      </c>
      <c r="B9" s="5" t="inlineStr">
        <is>
          <t>Decisión final</t>
        </is>
      </c>
      <c r="C9" s="6" t="inlineStr">
        <is>
          <t>Vigas extremas (ejes 1 y 7, L invertida 80x55+15x30): CUMPLE con el armado dispuesto (determinante: cordón traccionado por torsión 0.973, flexión 0.873). Sensibilidad: si las alveoplacas apoyan en la única ala a ~0.42 m del eje del pilote (no modelado ni en SAP ni en CYPE: 'la alveoplaca apoya en el eje de los pilotes'), la torsión de equilibrio ~56-61 kN·m en las caras de los pilotes lleva el cordón a 1.18 -&gt; verificar el detalle de apoyo; si se confirma, superior 4Ø25 en lugar de 5Ø20.</t>
        </is>
      </c>
    </row>
    <row r="10" ht="60" customHeight="1">
      <c r="A10" s="5" t="inlineStr">
        <is>
          <t>F5</t>
        </is>
      </c>
      <c r="B10" s="5" t="inlineStr">
        <is>
          <t>Decisión final</t>
        </is>
      </c>
      <c r="C10" s="6" t="inlineStr">
        <is>
          <t>Vigas de borde 25x30 (2Ø16 sup./inf., Ø8/150): En nuestro modelo SAP comparten la carga del forjado con la lámina ortótropa (V ~2x y M +13-21 % frente a CYPE) -&gt; la fisuración no cumple (wk 0.31 mm en apoyos, momento negativo) y el cortante con θ = 45° es 1.04-1.08 (cumple con cot θ óptimo). FINAL (condicionado al reparto de SAP): superior 3Ø25 sobre los apoyos (wk 0.067 mm); alternativa: viga de borde más canto; si sólo aplica la carga por bandas de CYPE, las barras dispuestas bastan en ELU.</t>
        </is>
      </c>
    </row>
    <row r="11" ht="45" customHeight="1">
      <c r="A11" s="5" t="inlineStr">
        <is>
          <t>F6</t>
        </is>
      </c>
      <c r="B11" s="5" t="inlineStr">
        <is>
          <t>Decisión final</t>
        </is>
      </c>
      <c r="C11" s="6" t="inlineStr">
        <is>
          <t>Decalaje / shift rule (información): Con cot θ = 2, la regla de decalaje (A19.6.2.3(7)/9.2.1.3) en la cara mar del pilote limitada al momento del nudo (eje del pilote) elevaría el cordón superior a 1.03-1.18; recomendación: no cortar las barras superiores dentro de al = z·cot θ/2 ≈ 0.43 m de las caras de los pilotes y anclarlas por completo sobre los pilotes; con cot θ = 1 (CYPE) el efecto es menor. No forma parte del veredicto.</t>
        </is>
      </c>
    </row>
    <row r="12" ht="45" customHeight="1">
      <c r="A12" s="5" t="inlineStr">
        <is>
          <t>F7</t>
        </is>
      </c>
      <c r="B12" s="5" t="inlineStr">
        <is>
          <t>Decisión final</t>
        </is>
      </c>
      <c r="C12" s="6" t="inlineStr">
        <is>
          <t>Comprobación EC2 propia de SAP2000: La ratio de los pilotes en SAP será ~0.71 (SAP usa M0e = 0.6M02 + 0.4M01 ≥ 0.4M02 y espera un análisis P-Delta): no comparable con nuestro 2º orden 0.93-0.99; rige nuestro veredicto. SAP no comprueba wk XS3, la convención ν1/fywd del CE, As,min española ni la armadura de suspensión de las alas.</t>
        </is>
      </c>
    </row>
    <row r="13" ht="45" customHeight="1">
      <c r="A13" s="5" t="inlineStr">
        <is>
          <t>F8</t>
        </is>
      </c>
      <c r="B13" s="5" t="inlineStr">
        <is>
          <t>Decisión final</t>
        </is>
      </c>
      <c r="C13" s="6" t="inlineStr">
        <is>
          <t>Anejo 10: qué hizo CYPE bien / mal: Resultados de CYPE reproducidos exactamente (capacidades 0.00 %); su veredicto de fisuración depende de ψ2 0.3 (valor de edificación); no comprobó la armadura de suspensión de las alas, el límite de tensión característica ni la torsión del ala de las vigas extremas; el 'Aprov.' del listado = 1.014 × η del rayo (sin explicar); error aritmético en el texto del Anejo 10: 410/4.65 = 88 kN (no 83).</t>
        </is>
      </c>
    </row>
    <row r="14" ht="15" customHeight="1">
      <c r="A14" s="5" t="inlineStr">
        <is>
          <t>P1</t>
        </is>
      </c>
      <c r="B14" s="5" t="inlineStr">
        <is>
          <t>Pilotes (pilotes.py)</t>
        </is>
      </c>
      <c r="C14" s="6" t="inlineStr">
        <is>
          <t>Forces: SAP2000 v27.1 (sap2000/resultados_sap), CYPE sign convention; section axes MEd,x = My(§3.3), MEd,y = Mx(§3.3), VEd,x = Qx, VEd,y = Qy.</t>
        </is>
      </c>
    </row>
    <row r="15" ht="15" customHeight="1">
      <c r="A15" s="5" t="inlineStr">
        <is>
          <t>P2</t>
        </is>
      </c>
      <c r="B15" s="5" t="inlineStr">
        <is>
          <t>Pilotes (pilotes.py)</t>
        </is>
      </c>
      <c r="C15" s="6" t="inlineStr">
        <is>
          <t>l0 = 6.70 m in both axes (β = 1 on the free length), l = 6.70 m in αh, m = 1.</t>
        </is>
      </c>
    </row>
    <row r="16" ht="15" customHeight="1">
      <c r="A16" s="5" t="inlineStr">
        <is>
          <t>P3</t>
        </is>
      </c>
      <c r="B16" s="5" t="inlineStr">
        <is>
          <t>Pilotes (pilotes.py)</t>
        </is>
      </c>
      <c r="C16" s="6" t="inlineStr">
        <is>
          <t>φef = 1.75 (CYPE input, conservative: A19.5.8.4 with ψ2,bollard = 0 would give φef ≈ 0).</t>
        </is>
      </c>
    </row>
    <row r="17" ht="15" customHeight="1">
      <c r="A17" s="5" t="inlineStr">
        <is>
          <t>P4</t>
        </is>
      </c>
      <c r="B17" s="5" t="inlineStr">
        <is>
          <t>Pilotes (pilotes.py)</t>
        </is>
      </c>
      <c r="C17" s="6" t="inlineStr">
        <is>
          <t>λlim with B = √(1+2ω) (BOE erratum), C = 0.7; e2 with c = π² and Kr ≤ 1.</t>
        </is>
      </c>
    </row>
    <row r="18" ht="15" customHeight="1">
      <c r="A18" s="5" t="inlineStr">
        <is>
          <t>P5</t>
        </is>
      </c>
      <c r="B18" s="5" t="inlineStr">
        <is>
          <t>Pilotes (pilotes.py)</t>
        </is>
      </c>
      <c r="C18" s="6" t="inlineStr">
        <is>
          <t>Second order added at every checked section (head, foot, fixity and intermediate stations).</t>
        </is>
      </c>
    </row>
    <row r="19" ht="15" customHeight="1">
      <c r="A19" s="5" t="inlineStr">
        <is>
          <t>P6</t>
        </is>
      </c>
      <c r="B19" s="5" t="inlineStr">
        <is>
          <t>Pilotes (pilotes.py)</t>
        </is>
      </c>
      <c r="C19" s="6" t="inlineStr">
        <is>
          <t>VRd,c: Asl = all bars except the compressed face row, d = their centroid (CYPE C10) in both modes.</t>
        </is>
      </c>
    </row>
    <row r="20" ht="15" customHeight="1">
      <c r="A20" s="5" t="inlineStr">
        <is>
          <t>P7</t>
        </is>
      </c>
      <c r="B20" s="5" t="inlineStr">
        <is>
          <t>Pilotes (pilotes.py)</t>
        </is>
      </c>
      <c r="C20" s="6" t="inlineStr">
        <is>
          <t>fywd = 0.8·fywk = 400 MPa with ν1 = 0.6; VRd,s uses 4 full-depth Ø10 legs per direction (shaft).</t>
        </is>
      </c>
    </row>
    <row r="21" ht="30" customHeight="1">
      <c r="A21" s="5" t="inlineStr">
        <is>
          <t>P8</t>
        </is>
      </c>
      <c r="B21" s="5" t="inlineStr">
        <is>
          <t>Pilotes (pilotes.py)</t>
        </is>
      </c>
      <c r="C21" s="6" t="inlineStr">
        <is>
          <t>SLS: Ecm (limestone) = 33550 MPa, αe = Es/Ecm; uncracked criterion on the homogenised section, corner fibre, fct,eff = fctm = 4.07 MPa; wk with kt = 0.4, k1 = 0.8, k2 = 0.5 (bending), k3 = 3.4, k4 = 0.425, c = cover + tie; depths measured perpendicular to the neutral axis.</t>
        </is>
      </c>
    </row>
    <row r="22" ht="30" customHeight="1">
      <c r="A22" s="5" t="inlineStr">
        <is>
          <t>P9</t>
        </is>
      </c>
      <c r="B22" s="5" t="inlineStr">
        <is>
          <t>Pilotes (pilotes.py)</t>
        </is>
      </c>
      <c r="C22" s="6" t="inlineStr">
        <is>
          <t>Characteristic combinations ELS01-08 (all factors 1.0) for both bases; σc with Ecm (verdict) and, for information, with Ec,eff = Ecm/(1 + φ·Mqp/Mk), φ = 1.75, Mqp from G + ψ2,Qa·Qa of the basis.</t>
        </is>
      </c>
    </row>
    <row r="23" ht="30" customHeight="1">
      <c r="A23" s="5" t="inlineStr">
        <is>
          <t>P10</t>
        </is>
      </c>
      <c r="B23" s="5" t="inlineStr">
        <is>
          <t>Pilotes (pilotes.py)</t>
        </is>
      </c>
      <c r="C23" s="6" t="inlineStr">
        <is>
          <t>wk: Ac,eff = gross concrete area within hc,ef of the most tensioned fibre (b·hc,ef for uniaxial bending), ρp,eff = As,eff/Ac,eff with the bars inside it.</t>
        </is>
      </c>
    </row>
    <row r="24" ht="30" customHeight="1">
      <c r="A24" s="5" t="inlineStr">
        <is>
          <t>P11</t>
        </is>
      </c>
      <c r="B24" s="5" t="inlineStr">
        <is>
          <t>Pilotes (pilotes.py)</t>
        </is>
      </c>
      <c r="C24" s="6" t="inlineStr">
        <is>
          <t>Required As: provided bar positions kept, bar area scaled (Ø grid (12.0, 14.0, 16.0, 18.0, 20.0, 22.0, 24.0, 26.0, 28.0, 30.0, 32.0, 36.0), linear interpolation).</t>
        </is>
      </c>
    </row>
    <row r="25" ht="15" customHeight="1">
      <c r="A25" s="5" t="inlineStr">
        <is>
          <t>V1</t>
        </is>
      </c>
      <c r="B25" s="5" t="inlineStr">
        <is>
          <t>Vigas (vigas.py)</t>
        </is>
      </c>
      <c r="C25" s="6" t="inlineStr">
        <is>
          <t>Forces: SAP2000 v27.1 (sap2000/resultados_sap), CYPE convention; ULS ELU01-22 (CYPE) / ELR01-22 (ROM).</t>
        </is>
      </c>
    </row>
    <row r="26" ht="30" customHeight="1">
      <c r="A26" s="5" t="inlineStr">
        <is>
          <t>V2</t>
        </is>
      </c>
      <c r="B26" s="5" t="inlineStr">
        <is>
          <t>Vigas (vigas.py)</t>
        </is>
      </c>
      <c r="C26" s="6" t="inlineStr">
        <is>
          <t>Design sections: pile faces y = +-0.20 / 3.25 / 3.65 (A19.5.3.2.2(3)); pile-axis moments reported as info (rigid node: CYPE's 'P3' -273.71 lies between the face and the axis, C20).</t>
        </is>
      </c>
    </row>
    <row r="27" ht="45" customHeight="1">
      <c r="A27" s="5" t="inlineStr">
        <is>
          <t>V3</t>
        </is>
      </c>
      <c r="B27" s="5" t="inlineStr">
        <is>
          <t>Vigas (vigas.py)</t>
        </is>
      </c>
      <c r="C27" s="6" t="inlineStr">
        <is>
          <t>Shift rule / (6.18): at the pile faces MEd,max = the face moment (A19.5.3.2.2(3), monolithic support), so M/z + dFtd is capped there and adds nothing; the shift al = z·cot/2 (0.43 m at cot 2) only governs curtailment (not modelled: full-length bars). If the rigid-node pile-axis moment were taken as MEd,max instead, the sea-face hogging chord would be at the axis rows' eta (1.03-1.18 for VT1-VT6, CE-ROM): see the 'eje pilote mar (info)' rows.</t>
        </is>
      </c>
    </row>
    <row r="28" ht="15" customHeight="1">
      <c r="A28" s="5" t="inlineStr">
        <is>
          <t>V4</t>
        </is>
      </c>
      <c r="B28" s="5" t="inlineStr">
        <is>
          <t>Vigas (vigas.py)</t>
        </is>
      </c>
      <c r="C28" s="6" t="inlineStr">
        <is>
          <t>Bending about the horizontal axis with a horizontal neutral axis (laterally restrained beams; L sections: My of the resultant carried by the slab).</t>
        </is>
      </c>
    </row>
    <row r="29" ht="15" customHeight="1">
      <c r="A29" s="5" t="inlineStr">
        <is>
          <t>V5</t>
        </is>
      </c>
      <c r="B29" s="5" t="inlineStr">
        <is>
          <t>Vigas (vigas.py)</t>
        </is>
      </c>
      <c r="C29" s="6" t="inlineStr">
        <is>
          <t>Bars run the full length (hooked ends): no anchorage reduction of the area (CYPE reduces it in the 0.10 m cantilevers, 'Área Real' 11.28/13.42).</t>
        </is>
      </c>
    </row>
    <row r="30" ht="15" customHeight="1">
      <c r="A30" s="5" t="inlineStr">
        <is>
          <t>V6</t>
        </is>
      </c>
      <c r="B30" s="5" t="inlineStr">
        <is>
          <t>Vigas (vigas.py)</t>
        </is>
      </c>
      <c r="C30" s="6" t="inlineStr">
        <is>
          <t>Shear: z = 0.9d, fywd = 400 MPa with nu1 = 0.6; V at the face for VRd,max and at d for VRd,s (cantilevers shorter than d: V at the face).</t>
        </is>
      </c>
    </row>
    <row r="31" ht="45" customHeight="1">
      <c r="A31" s="5" t="inlineStr">
        <is>
          <t>V7</t>
        </is>
      </c>
      <c r="B31" s="5" t="inlineStr">
        <is>
          <t>Vigas (vigas.py)</t>
        </is>
      </c>
      <c r="C31" s="6" t="inlineStr">
        <is>
          <t>Torsion (A19.6.3) with the SAP torque on every member; in the verdict for the end frames (axes 1, 7, as required); for the inner frames and edge beams the SAP torque is compatibility torsion (gravity rotations imposed by the neighbouring members, A19.6.3.1(2)) and is reported as information. Links per leg of the hoop: Asw,V/(n·s) + T/(2·Ak·fyd·cot); longitudinal (6.28) added to the tension chord.</t>
        </is>
      </c>
    </row>
    <row r="32" ht="45" customHeight="1">
      <c r="A32" s="5" t="inlineStr">
        <is>
          <t>V8</t>
        </is>
      </c>
      <c r="B32" s="5" t="inlineStr">
        <is>
          <t>Vigas (vigas.py)</t>
        </is>
      </c>
      <c r="C32" s="6" t="inlineStr">
        <is>
          <t>Suspension (A19.6.2.1(9)): the hollow-core plates bear on the ledges, i.e. the load is applied near the bottom of the section; the web links carry the ULS plate reaction q·Lp/2 per ledge (inner beams both ledges, end beams one) at fyd in addition to V/(z·fywd·cot), wherever plates bear (Y -0.306 to 3.603). In the verdict of the CE cases; information in case CYPE (CYPE does not check it).</t>
        </is>
      </c>
    </row>
    <row r="33" ht="30" customHeight="1">
      <c r="A33" s="5" t="inlineStr">
        <is>
          <t>V9</t>
        </is>
      </c>
      <c r="B33" s="5" t="inlineStr">
        <is>
          <t>Vigas (vigas.py)</t>
        </is>
      </c>
      <c r="C33" s="6" t="inlineStr">
        <is>
          <t>Sensitivity (not in the verdict): equilibrium torque of the hollow-core plates bearing on the single ledge of the end beams (e = 0.42 m from the pile axis; 56 kN·m at the pile faces for 1.35G + 1.5Qa), modelled neither in SAP nor in CYPE (P437).</t>
        </is>
      </c>
    </row>
    <row r="34" ht="30" customHeight="1">
      <c r="A34" s="5" t="inlineStr">
        <is>
          <t>V10</t>
        </is>
      </c>
      <c r="B34" s="5" t="inlineStr">
        <is>
          <t>Vigas (vigas.py)</t>
        </is>
      </c>
      <c r="C34" s="6" t="inlineStr">
        <is>
          <t>Case CYPE: cot(theta) = 1 and nu(torsion) = 0.6 (CYPE); CE cases: largest cot(theta) in [0.5, 2] allowed by (6.29) at the face and nu = 0.6(1 - fck/250) = 0.516 (A19.6.3.2(4)).</t>
        </is>
      </c>
    </row>
    <row r="35" ht="30" customHeight="1">
      <c r="A35" s="5" t="inlineStr">
        <is>
          <t>V11</t>
        </is>
      </c>
      <c r="B35" s="5" t="inlineStr">
        <is>
          <t>Vigas (vigas.py)</t>
        </is>
      </c>
      <c r="C35" s="6" t="inlineStr">
        <is>
          <t>SLS: alpha_e = Es/Ecm = 6.52 for stresses and wk; kt = 0.4, k1 0.8, k2 0.5, k3 3.4, k4 0.425, c = 50 + stirrup Ø; characteristic combinations = SAP ELS01-08 (all psi = 1, upper bound).</t>
        </is>
      </c>
    </row>
    <row r="36" ht="15" customHeight="1">
      <c r="A36" s="5" t="inlineStr">
        <is>
          <t>V12</t>
        </is>
      </c>
      <c r="B36" s="5" t="inlineStr">
        <is>
          <t>Vigas (vigas.py)</t>
        </is>
      </c>
      <c r="C36" s="6" t="inlineStr">
        <is>
          <t>Deflection: curvature integration between the pile faces, phi = 2.0 (assumed), beta 0.5; 'activa' = f(QP, inf) - f(PP, inst).</t>
        </is>
      </c>
    </row>
    <row r="37" ht="45" customHeight="1">
      <c r="A37" s="5" t="inlineStr">
        <is>
          <t>V13</t>
        </is>
      </c>
      <c r="B37" s="5" t="inlineStr">
        <is>
          <t>Vigas (vigas.py)</t>
        </is>
      </c>
      <c r="C37" s="6" t="inlineStr">
        <is>
          <t>Reinforcement search (final case, one layout per group inner / end / edge, only where the provided component fails): single row per face, web bars inside the web hoop + ledge bars (equal or one size smaller), Ø16-Ø25 (edge beams Ø12-Ø25), CE clear spacing max(Ø, dg + 5, 20), bars &lt;= 350 mm apart; links Ø8-12, 2-4 legs, s 50-300; objective As·(1 + 0.002·n_bars) (weight, fewer bars on ties).</t>
        </is>
      </c>
    </row>
    <row r="38" ht="30" customHeight="1">
      <c r="A38" s="5" t="inlineStr">
        <is>
          <t>M1</t>
        </is>
      </c>
      <c r="B38" s="5" t="inlineStr">
        <is>
          <t>Materiales vigas</t>
        </is>
      </c>
      <c r="C38" s="6" t="inlineStr">
        <is>
          <t>HA-35/F/20/XS3 (árido calizo): fck = 35.0, fcd = 23.333, fctm = 3.21, fctd = 1.498, Ecm = 30669.4, alpha_e = 6.521, fyd = 434.78, fywd_shear = 400.0, nu1 = 0.6</t>
        </is>
      </c>
    </row>
    <row r="39" ht="15" customHeight="1">
      <c r="A39" s="5" t="inlineStr">
        <is>
          <t>M2</t>
        </is>
      </c>
      <c r="B39" s="5" t="inlineStr">
        <is>
          <t>Materiales pilotes</t>
        </is>
      </c>
      <c r="C39" s="6" t="inlineStr">
        <is>
          <t>HA-50 prefabricado, B500SD, recubrimiento 50 mm (XS3), Ecm (caliza) 33550 MPa, fctm 4.07 MPa; φef = 1.75 (dato de CYPE).</t>
        </is>
      </c>
    </row>
    <row r="40" ht="15" customHeight="1">
      <c r="A40" s="5" t="inlineStr">
        <is>
          <t>M3</t>
        </is>
      </c>
      <c r="B40" s="5" t="inlineStr">
        <is>
          <t>Combinaciones</t>
        </is>
      </c>
      <c r="C40" s="6" t="inlineStr">
        <is>
          <t>ELU ELU01-22 (CYPE) / ELR01-22 (ROM); característica ELS01-08 (todas ψ = 1); cuasipermanente QP = G + ψ2,Qa·Qa (bolardo ψ2 = 0; 0.5 sensibilidad).</t>
        </is>
      </c>
    </row>
    <row r="41" ht="60" customHeight="1">
      <c r="A41" s="5" t="inlineStr">
        <is>
          <t>M4</t>
        </is>
      </c>
      <c r="B41" s="5" t="inlineStr">
        <is>
          <t>Listado CYPE</t>
        </is>
      </c>
      <c r="C41" s="6" t="inlineStr">
        <is>
          <t>CYPE's summary 'Aprov.' (Apéndice §3.5/§4.2) is reproduced by neither the exact ray nor the constant-N utilisation for all piles: with the forces printed in the listing it is 1.014 (sd 0.002, range 1.008-1.018) × the exact ray η (42 rows, compression and tension piles), i.e. CYPE's summary uses a slightly conservative (discretised) interaction surface; the detailed body check (η = 0.913 / 0.894) is reproduced exactly by the ray.  The constant-N match of spec C4 holds for P3 only.  The shear 'Aprov.' is reproduced within ±0.1 points.</t>
        </is>
      </c>
    </row>
    <row r="42" ht="15" customHeight="1">
      <c r="A42" s="5" t="inlineStr">
        <is>
          <t>C-P nm1</t>
        </is>
      </c>
      <c r="B42" s="5" t="inlineStr">
        <is>
          <t>Cláusula pilotes</t>
        </is>
      </c>
      <c r="C42" s="6" t="inlineStr">
        <is>
          <t>A19.6.1 (+ A19.6.1(4) emin)</t>
        </is>
      </c>
    </row>
    <row r="43" ht="15" customHeight="1">
      <c r="A43" s="5" t="inlineStr">
        <is>
          <t>C-P nm2</t>
        </is>
      </c>
      <c r="B43" s="5" t="inlineStr">
        <is>
          <t>Cláusula pilotes</t>
        </is>
      </c>
      <c r="C43" s="6" t="inlineStr">
        <is>
          <t>A19.5.2, A19.5.8.3.1, A19.5.8.8, A19.6.1</t>
        </is>
      </c>
    </row>
    <row r="44" ht="15" customHeight="1">
      <c r="A44" s="5" t="inlineStr">
        <is>
          <t>C-P vrdc</t>
        </is>
      </c>
      <c r="B44" s="5" t="inlineStr">
        <is>
          <t>Cláusula pilotes</t>
        </is>
      </c>
      <c r="C44" s="6" t="inlineStr">
        <is>
          <t>A19.6.2.2(1) (6.2.a/b)</t>
        </is>
      </c>
    </row>
    <row r="45" ht="15" customHeight="1">
      <c r="A45" s="5" t="inlineStr">
        <is>
          <t>C-P vrdmax</t>
        </is>
      </c>
      <c r="B45" s="5" t="inlineStr">
        <is>
          <t>Cláusula pilotes</t>
        </is>
      </c>
      <c r="C45" s="6" t="inlineStr">
        <is>
          <t>A19.6.2.3(3) (6.9)</t>
        </is>
      </c>
    </row>
    <row r="46" ht="15" customHeight="1">
      <c r="A46" s="5" t="inlineStr">
        <is>
          <t>C-P vrds</t>
        </is>
      </c>
      <c r="B46" s="5" t="inlineStr">
        <is>
          <t>Cláusula pilotes</t>
        </is>
      </c>
      <c r="C46" s="6" t="inlineStr">
        <is>
          <t>A19.6.2.3(3) (6.8)</t>
        </is>
      </c>
    </row>
    <row r="47" ht="15" customHeight="1">
      <c r="A47" s="5" t="inlineStr">
        <is>
          <t>C-P v622</t>
        </is>
      </c>
      <c r="B47" s="5" t="inlineStr">
        <is>
          <t>Cláusula pilotes</t>
        </is>
      </c>
      <c r="C47" s="6" t="inlineStr">
        <is>
          <t>A19.6.2.2(6)</t>
        </is>
      </c>
    </row>
    <row r="48" ht="15" customHeight="1">
      <c r="A48" s="5" t="inlineStr">
        <is>
          <t>C-P sls_ct</t>
        </is>
      </c>
      <c r="B48" s="5" t="inlineStr">
        <is>
          <t>Cláusula pilotes</t>
        </is>
      </c>
      <c r="C48" s="6" t="inlineStr">
        <is>
          <t>A19.7.1(2)</t>
        </is>
      </c>
    </row>
    <row r="49" ht="15" customHeight="1">
      <c r="A49" s="5" t="inlineStr">
        <is>
          <t>C-P wk</t>
        </is>
      </c>
      <c r="B49" s="5" t="inlineStr">
        <is>
          <t>Cláusula pilotes</t>
        </is>
      </c>
      <c r="C49" s="6" t="inlineStr">
        <is>
          <t>A19.7.3.4 (7.8)-(7.11); CE Art. 27 Tabla 27.2</t>
        </is>
      </c>
    </row>
    <row r="50" ht="15" customHeight="1">
      <c r="A50" s="5" t="inlineStr">
        <is>
          <t>C-P sig_c</t>
        </is>
      </c>
      <c r="B50" s="5" t="inlineStr">
        <is>
          <t>Cláusula pilotes</t>
        </is>
      </c>
      <c r="C50" s="6" t="inlineStr">
        <is>
          <t>A19.7.2(2)</t>
        </is>
      </c>
    </row>
    <row r="51" ht="15" customHeight="1">
      <c r="A51" s="5" t="inlineStr">
        <is>
          <t>C-P sig_s</t>
        </is>
      </c>
      <c r="B51" s="5" t="inlineStr">
        <is>
          <t>Cláusula pilotes</t>
        </is>
      </c>
      <c r="C51" s="6" t="inlineStr">
        <is>
          <t>A19.7.2(5)</t>
        </is>
      </c>
    </row>
    <row r="52" ht="15" customHeight="1">
      <c r="A52" s="5" t="inlineStr">
        <is>
          <t>C-P sig_c_qp</t>
        </is>
      </c>
      <c r="B52" s="5" t="inlineStr">
        <is>
          <t>Cláusula pilotes</t>
        </is>
      </c>
      <c r="C52" s="6" t="inlineStr">
        <is>
          <t>A19.7.2(3)</t>
        </is>
      </c>
    </row>
    <row r="53" ht="15" customHeight="1">
      <c r="A53" s="5" t="inlineStr">
        <is>
          <t>C-V bending</t>
        </is>
      </c>
      <c r="B53" s="5" t="inlineStr">
        <is>
          <t>Cláusula vigas</t>
        </is>
      </c>
      <c r="C53" s="6" t="inlineStr">
        <is>
          <t>A19.6.1</t>
        </is>
      </c>
    </row>
    <row r="54" ht="15" customHeight="1">
      <c r="A54" s="5" t="inlineStr">
        <is>
          <t>C-V As_min</t>
        </is>
      </c>
      <c r="B54" s="5" t="inlineStr">
        <is>
          <t>Cláusula vigas</t>
        </is>
      </c>
      <c r="C54" s="6" t="inlineStr">
        <is>
          <t>A19.9.2.1.1(1) (9.1)</t>
        </is>
      </c>
    </row>
    <row r="55" ht="15" customHeight="1">
      <c r="A55" s="5" t="inlineStr">
        <is>
          <t>C-V As_max</t>
        </is>
      </c>
      <c r="B55" s="5" t="inlineStr">
        <is>
          <t>Cláusula vigas</t>
        </is>
      </c>
      <c r="C55" s="6" t="inlineStr">
        <is>
          <t>A19.9.2.1.1(3)</t>
        </is>
      </c>
    </row>
    <row r="56" ht="15" customHeight="1">
      <c r="A56" s="5" t="inlineStr">
        <is>
          <t>C-V spacing</t>
        </is>
      </c>
      <c r="B56" s="5" t="inlineStr">
        <is>
          <t>Cláusula vigas</t>
        </is>
      </c>
      <c r="C56" s="6" t="inlineStr">
        <is>
          <t>A19.8.2(2), A19.9.2.3(4)</t>
        </is>
      </c>
    </row>
    <row r="57" ht="15" customHeight="1">
      <c r="A57" s="5" t="inlineStr">
        <is>
          <t>C-V shear</t>
        </is>
      </c>
      <c r="B57" s="5" t="inlineStr">
        <is>
          <t>Cláusula vigas</t>
        </is>
      </c>
      <c r="C57" s="6" t="inlineStr">
        <is>
          <t>A19.6.2.2, A19.6.2.3 (6.7N)-(6.10)</t>
        </is>
      </c>
    </row>
    <row r="58" ht="15" customHeight="1">
      <c r="A58" s="5" t="inlineStr">
        <is>
          <t>C-V suspension</t>
        </is>
      </c>
      <c r="B58" s="5" t="inlineStr">
        <is>
          <t>Cláusula vigas</t>
        </is>
      </c>
      <c r="C58" s="6" t="inlineStr">
        <is>
          <t>A19.6.2.1(9)</t>
        </is>
      </c>
    </row>
    <row r="59" ht="15" customHeight="1">
      <c r="A59" s="5" t="inlineStr">
        <is>
          <t>C-V links</t>
        </is>
      </c>
      <c r="B59" s="5" t="inlineStr">
        <is>
          <t>Cláusula vigas</t>
        </is>
      </c>
      <c r="C59" s="6" t="inlineStr">
        <is>
          <t>A19.9.2.2 (9.4)-(9.8)</t>
        </is>
      </c>
    </row>
    <row r="60" ht="15" customHeight="1">
      <c r="A60" s="5" t="inlineStr">
        <is>
          <t>C-V torsion</t>
        </is>
      </c>
      <c r="B60" s="5" t="inlineStr">
        <is>
          <t>Cláusula vigas</t>
        </is>
      </c>
      <c r="C60" s="6" t="inlineStr">
        <is>
          <t>A19.6.3.2 (6.26)-(6.31), A19.9.2.3</t>
        </is>
      </c>
    </row>
    <row r="61" ht="15" customHeight="1">
      <c r="A61" s="5" t="inlineStr">
        <is>
          <t>C-V cracking</t>
        </is>
      </c>
      <c r="B61" s="5" t="inlineStr">
        <is>
          <t>Cláusula vigas</t>
        </is>
      </c>
      <c r="C61" s="6" t="inlineStr">
        <is>
          <t>A19.7.1(2), A19.7.3.4, CE Art. 27 Tabla 27.2</t>
        </is>
      </c>
    </row>
    <row r="62" ht="15" customHeight="1">
      <c r="A62" s="5" t="inlineStr">
        <is>
          <t>C-V stresses</t>
        </is>
      </c>
      <c r="B62" s="5" t="inlineStr">
        <is>
          <t>Cláusula vigas</t>
        </is>
      </c>
      <c r="C62" s="6" t="inlineStr">
        <is>
          <t>A19.7.2</t>
        </is>
      </c>
    </row>
    <row r="63" ht="15" customHeight="1">
      <c r="A63" s="5" t="inlineStr">
        <is>
          <t>C-V deflection</t>
        </is>
      </c>
      <c r="B63" s="5" t="inlineStr">
        <is>
          <t>Cláusula vigas</t>
        </is>
      </c>
      <c r="C63" s="6" t="inlineStr">
        <is>
          <t>A19.7.4</t>
        </is>
      </c>
    </row>
    <row r="64" ht="30" customHeight="1">
      <c r="A64" s="5" t="inlineStr">
        <is>
          <t>R1</t>
        </is>
      </c>
      <c r="B64" s="5" t="inlineStr">
        <is>
          <t>Referencias</t>
        </is>
      </c>
      <c r="C64" s="6" t="inlineStr">
        <is>
          <t>Código Estructural (RD 470/2021) Anejo 19 y Art. 27 Tabla 27.2; ROM 2.0-11 Tabla 4.6.4.1; ROM 0.2-90; Anejo 10 del proyecto (CYPECAD); diseno/investigacion/codigo_estructural_spec.md (C1-C21) y sap_design_spec.md.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2026-09-23T21:52:00Z</dcterms:created>
  <dcterms:modified xmlns:dcterms="http://purl.org/dc/terms/" xmlns:xsi="http://www.w3.org/2001/XMLSchema-instance" xsi:type="dcterms:W3CDTF">2026-09-23T21:52:01Z</dcterms:modified>
</cp:coreProperties>
</file>